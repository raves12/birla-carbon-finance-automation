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E2E AP" sheetId="4" state="visible" r:id="rId4"/>
    <sheet xmlns:r="http://schemas.openxmlformats.org/officeDocument/2006/relationships" name="E2E AR" sheetId="5" state="visible" r:id="rId5"/>
    <sheet xmlns:r="http://schemas.openxmlformats.org/officeDocument/2006/relationships" name="Test Data" sheetId="6" state="visible" r:id="rId6"/>
    <sheet xmlns:r="http://schemas.openxmlformats.org/officeDocument/2006/relationships" name="Defects" sheetId="7" state="visible" r:id="rId7"/>
  </sheets>
  <definedNames>
    <definedName name="_xlnm._FilterDatabase" localSheetId="2" hidden="1">'Test Cases'!$A$1:$P$95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BCFA Manual Test Workbook</t>
        </is>
      </c>
      <c r="B1" t="inlineStr"/>
    </row>
    <row r="2">
      <c r="A2" s="2" t="inlineStr">
        <is>
          <t>Application</t>
        </is>
      </c>
      <c r="B2" s="3" t="inlineStr">
        <is>
          <t>Birla Carbon Finance Automation (x_695068_bcfa) on pwcmanagementservicesdemo01 (Yokohama)</t>
        </is>
      </c>
    </row>
    <row r="3">
      <c r="A3" s="2" t="inlineStr">
        <is>
          <t>Version</t>
        </is>
      </c>
      <c r="B3" s="3" t="inlineStr">
        <is>
          <t>Phase 41, 2026-10-08</t>
        </is>
      </c>
    </row>
    <row r="4">
      <c r="A4" s="2" t="inlineStr">
        <is>
          <t>Purpose</t>
        </is>
      </c>
      <c r="B4" s="3" t="inlineStr">
        <is>
          <t>Manual testing of the AP and Cash Application journeys end to end, from document intake to SAP posting / clearing and closure, plus extraction, tax, tolerances, deductions, AI, Playbooks, workspace, security and audit.</t>
        </is>
      </c>
    </row>
    <row r="5">
      <c r="A5" s="2" t="inlineStr">
        <is>
          <t>How to use</t>
        </is>
      </c>
      <c r="B5" s="3" t="inlineStr">
        <is>
          <t>1. Prepare data (sheet Test Data). 2. Run the E2E sheets first, then the Test Cases. 3. For every case record Actual Result, Status (Not Run / Pass / Fail / Blocked / N/A), Tester and Date. 4. Log failures in Defects and put the Defect ID on the case. 5. Summary counts the results.</t>
        </is>
      </c>
    </row>
    <row r="6">
      <c r="A6" s="2" t="inlineStr">
        <is>
          <t>Placeholders</t>
        </is>
      </c>
      <c r="B6" s="3" t="inlineStr">
        <is>
          <t>&lt;suffix&gt; = the demo pack code (e.g. D2); &lt;run&gt; = the code printed by phase40_e2e_bg.js (e.g. 63D87).</t>
        </is>
      </c>
    </row>
    <row r="7">
      <c r="A7" s="2" t="inlineStr">
        <is>
          <t>Personas</t>
        </is>
      </c>
      <c r="B7" s="3" t="inlineStr">
        <is>
          <t>Switch with Impersonate User from an admin account. Approvals must be decided by a different user from the requester and the processor (segregation of duties).</t>
        </is>
      </c>
    </row>
    <row r="8">
      <c r="A8" s="2" t="inlineStr">
        <is>
          <t>Limits</t>
        </is>
      </c>
      <c r="B8" s="3" t="inlineStr">
        <is>
          <t>Test documents are SYNTHETIC except the client sample pack (P41-CS cases; kept out of source control); SAP is MOCK SAP; thresholds and tax rates are POC ASSUMPTION / POC REFERENCE DATA. Known platform limitation: Chinese VAT e-invoices and scanned Korean / Thai documents are not read (manual review).</t>
        </is>
      </c>
    </row>
    <row r="9">
      <c r="A9" s="2" t="inlineStr">
        <is>
          <t>Shared instance</t>
        </is>
      </c>
      <c r="B9" s="3" t="inlineStr">
        <is>
          <t>Restore every property or integration profile you change for a negative test.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4" t="inlineStr">
        <is>
          <t>Area</t>
        </is>
      </c>
      <c r="B1" s="4" t="inlineStr">
        <is>
          <t>Total</t>
        </is>
      </c>
      <c r="C1" s="4" t="inlineStr">
        <is>
          <t>Pass</t>
        </is>
      </c>
      <c r="D1" s="4" t="inlineStr">
        <is>
          <t>Fail</t>
        </is>
      </c>
      <c r="E1" s="4" t="inlineStr">
        <is>
          <t>Blocked</t>
        </is>
      </c>
      <c r="F1" s="4" t="inlineStr">
        <is>
          <t>Not Run</t>
        </is>
      </c>
      <c r="G1" s="4" t="inlineStr">
        <is>
          <t>N/A</t>
        </is>
      </c>
    </row>
    <row r="2">
      <c r="A2" s="5" t="inlineStr">
        <is>
          <t>AP · Intake</t>
        </is>
      </c>
      <c r="B2" s="5">
        <f>COUNTIF('Test Cases'!B2:B95,A2)</f>
        <v/>
      </c>
      <c r="C2" s="5">
        <f>COUNTIFS('Test Cases'!B2:B95,A2,'Test Cases'!L2:L95,"Pass")</f>
        <v/>
      </c>
      <c r="D2" s="5">
        <f>COUNTIFS('Test Cases'!B2:B95,A2,'Test Cases'!L2:L95,"Fail")</f>
        <v/>
      </c>
      <c r="E2" s="5">
        <f>COUNTIFS('Test Cases'!B2:B95,A2,'Test Cases'!L2:L95,"Blocked")</f>
        <v/>
      </c>
      <c r="F2" s="5">
        <f>COUNTIFS('Test Cases'!B2:B95,A2,'Test Cases'!L2:L95,"Not Run")</f>
        <v/>
      </c>
      <c r="G2" s="5">
        <f>COUNTIFS('Test Cases'!B2:B95,A2,'Test Cases'!L2:L95,"N/A")</f>
        <v/>
      </c>
    </row>
    <row r="3">
      <c r="A3" s="5" t="inlineStr">
        <is>
          <t>AP · Extraction</t>
        </is>
      </c>
      <c r="B3" s="5">
        <f>COUNTIF('Test Cases'!B2:B95,A3)</f>
        <v/>
      </c>
      <c r="C3" s="5">
        <f>COUNTIFS('Test Cases'!B2:B95,A3,'Test Cases'!L2:L95,"Pass")</f>
        <v/>
      </c>
      <c r="D3" s="5">
        <f>COUNTIFS('Test Cases'!B2:B95,A3,'Test Cases'!L2:L95,"Fail")</f>
        <v/>
      </c>
      <c r="E3" s="5">
        <f>COUNTIFS('Test Cases'!B2:B95,A3,'Test Cases'!L2:L95,"Blocked")</f>
        <v/>
      </c>
      <c r="F3" s="5">
        <f>COUNTIFS('Test Cases'!B2:B95,A3,'Test Cases'!L2:L95,"Not Run")</f>
        <v/>
      </c>
      <c r="G3" s="5">
        <f>COUNTIFS('Test Cases'!B2:B95,A3,'Test Cases'!L2:L95,"N/A")</f>
        <v/>
      </c>
    </row>
    <row r="4">
      <c r="A4" s="5" t="inlineStr">
        <is>
          <t>AP · Validation</t>
        </is>
      </c>
      <c r="B4" s="5">
        <f>COUNTIF('Test Cases'!B2:B95,A4)</f>
        <v/>
      </c>
      <c r="C4" s="5">
        <f>COUNTIFS('Test Cases'!B2:B95,A4,'Test Cases'!L2:L95,"Pass")</f>
        <v/>
      </c>
      <c r="D4" s="5">
        <f>COUNTIFS('Test Cases'!B2:B95,A4,'Test Cases'!L2:L95,"Fail")</f>
        <v/>
      </c>
      <c r="E4" s="5">
        <f>COUNTIFS('Test Cases'!B2:B95,A4,'Test Cases'!L2:L95,"Blocked")</f>
        <v/>
      </c>
      <c r="F4" s="5">
        <f>COUNTIFS('Test Cases'!B2:B95,A4,'Test Cases'!L2:L95,"Not Run")</f>
        <v/>
      </c>
      <c r="G4" s="5">
        <f>COUNTIFS('Test Cases'!B2:B95,A4,'Test Cases'!L2:L95,"N/A")</f>
        <v/>
      </c>
    </row>
    <row r="5">
      <c r="A5" s="5" t="inlineStr">
        <is>
          <t>AP · Tax</t>
        </is>
      </c>
      <c r="B5" s="5">
        <f>COUNTIF('Test Cases'!B2:B95,A5)</f>
        <v/>
      </c>
      <c r="C5" s="5">
        <f>COUNTIFS('Test Cases'!B2:B95,A5,'Test Cases'!L2:L95,"Pass")</f>
        <v/>
      </c>
      <c r="D5" s="5">
        <f>COUNTIFS('Test Cases'!B2:B95,A5,'Test Cases'!L2:L95,"Fail")</f>
        <v/>
      </c>
      <c r="E5" s="5">
        <f>COUNTIFS('Test Cases'!B2:B95,A5,'Test Cases'!L2:L95,"Blocked")</f>
        <v/>
      </c>
      <c r="F5" s="5">
        <f>COUNTIFS('Test Cases'!B2:B95,A5,'Test Cases'!L2:L95,"Not Run")</f>
        <v/>
      </c>
      <c r="G5" s="5">
        <f>COUNTIFS('Test Cases'!B2:B95,A5,'Test Cases'!L2:L95,"N/A")</f>
        <v/>
      </c>
    </row>
    <row r="6">
      <c r="A6" s="5" t="inlineStr">
        <is>
          <t>AP · Tolerance</t>
        </is>
      </c>
      <c r="B6" s="5">
        <f>COUNTIF('Test Cases'!B2:B95,A6)</f>
        <v/>
      </c>
      <c r="C6" s="5">
        <f>COUNTIFS('Test Cases'!B2:B95,A6,'Test Cases'!L2:L95,"Pass")</f>
        <v/>
      </c>
      <c r="D6" s="5">
        <f>COUNTIFS('Test Cases'!B2:B95,A6,'Test Cases'!L2:L95,"Fail")</f>
        <v/>
      </c>
      <c r="E6" s="5">
        <f>COUNTIFS('Test Cases'!B2:B95,A6,'Test Cases'!L2:L95,"Blocked")</f>
        <v/>
      </c>
      <c r="F6" s="5">
        <f>COUNTIFS('Test Cases'!B2:B95,A6,'Test Cases'!L2:L95,"Not Run")</f>
        <v/>
      </c>
      <c r="G6" s="5">
        <f>COUNTIFS('Test Cases'!B2:B95,A6,'Test Cases'!L2:L95,"N/A")</f>
        <v/>
      </c>
    </row>
    <row r="7">
      <c r="A7" s="5" t="inlineStr">
        <is>
          <t>AP · Match</t>
        </is>
      </c>
      <c r="B7" s="5">
        <f>COUNTIF('Test Cases'!B2:B95,A7)</f>
        <v/>
      </c>
      <c r="C7" s="5">
        <f>COUNTIFS('Test Cases'!B2:B95,A7,'Test Cases'!L2:L95,"Pass")</f>
        <v/>
      </c>
      <c r="D7" s="5">
        <f>COUNTIFS('Test Cases'!B2:B95,A7,'Test Cases'!L2:L95,"Fail")</f>
        <v/>
      </c>
      <c r="E7" s="5">
        <f>COUNTIFS('Test Cases'!B2:B95,A7,'Test Cases'!L2:L95,"Blocked")</f>
        <v/>
      </c>
      <c r="F7" s="5">
        <f>COUNTIFS('Test Cases'!B2:B95,A7,'Test Cases'!L2:L95,"Not Run")</f>
        <v/>
      </c>
      <c r="G7" s="5">
        <f>COUNTIFS('Test Cases'!B2:B95,A7,'Test Cases'!L2:L95,"N/A")</f>
        <v/>
      </c>
    </row>
    <row r="8">
      <c r="A8" s="5" t="inlineStr">
        <is>
          <t>AP · Exceptions</t>
        </is>
      </c>
      <c r="B8" s="5">
        <f>COUNTIF('Test Cases'!B2:B95,A8)</f>
        <v/>
      </c>
      <c r="C8" s="5">
        <f>COUNTIFS('Test Cases'!B2:B95,A8,'Test Cases'!L2:L95,"Pass")</f>
        <v/>
      </c>
      <c r="D8" s="5">
        <f>COUNTIFS('Test Cases'!B2:B95,A8,'Test Cases'!L2:L95,"Fail")</f>
        <v/>
      </c>
      <c r="E8" s="5">
        <f>COUNTIFS('Test Cases'!B2:B95,A8,'Test Cases'!L2:L95,"Blocked")</f>
        <v/>
      </c>
      <c r="F8" s="5">
        <f>COUNTIFS('Test Cases'!B2:B95,A8,'Test Cases'!L2:L95,"Not Run")</f>
        <v/>
      </c>
      <c r="G8" s="5">
        <f>COUNTIFS('Test Cases'!B2:B95,A8,'Test Cases'!L2:L95,"N/A")</f>
        <v/>
      </c>
    </row>
    <row r="9">
      <c r="A9" s="5" t="inlineStr">
        <is>
          <t>AP · Approval</t>
        </is>
      </c>
      <c r="B9" s="5">
        <f>COUNTIF('Test Cases'!B2:B95,A9)</f>
        <v/>
      </c>
      <c r="C9" s="5">
        <f>COUNTIFS('Test Cases'!B2:B95,A9,'Test Cases'!L2:L95,"Pass")</f>
        <v/>
      </c>
      <c r="D9" s="5">
        <f>COUNTIFS('Test Cases'!B2:B95,A9,'Test Cases'!L2:L95,"Fail")</f>
        <v/>
      </c>
      <c r="E9" s="5">
        <f>COUNTIFS('Test Cases'!B2:B95,A9,'Test Cases'!L2:L95,"Blocked")</f>
        <v/>
      </c>
      <c r="F9" s="5">
        <f>COUNTIFS('Test Cases'!B2:B95,A9,'Test Cases'!L2:L95,"Not Run")</f>
        <v/>
      </c>
      <c r="G9" s="5">
        <f>COUNTIFS('Test Cases'!B2:B95,A9,'Test Cases'!L2:L95,"N/A")</f>
        <v/>
      </c>
    </row>
    <row r="10">
      <c r="A10" s="5" t="inlineStr">
        <is>
          <t>AP · SAP posting</t>
        </is>
      </c>
      <c r="B10" s="5">
        <f>COUNTIF('Test Cases'!B2:B95,A10)</f>
        <v/>
      </c>
      <c r="C10" s="5">
        <f>COUNTIFS('Test Cases'!B2:B95,A10,'Test Cases'!L2:L95,"Pass")</f>
        <v/>
      </c>
      <c r="D10" s="5">
        <f>COUNTIFS('Test Cases'!B2:B95,A10,'Test Cases'!L2:L95,"Fail")</f>
        <v/>
      </c>
      <c r="E10" s="5">
        <f>COUNTIFS('Test Cases'!B2:B95,A10,'Test Cases'!L2:L95,"Blocked")</f>
        <v/>
      </c>
      <c r="F10" s="5">
        <f>COUNTIFS('Test Cases'!B2:B95,A10,'Test Cases'!L2:L95,"Not Run")</f>
        <v/>
      </c>
      <c r="G10" s="5">
        <f>COUNTIFS('Test Cases'!B2:B95,A10,'Test Cases'!L2:L95,"N/A")</f>
        <v/>
      </c>
    </row>
    <row r="11">
      <c r="A11" s="5" t="inlineStr">
        <is>
          <t>AP · Closure</t>
        </is>
      </c>
      <c r="B11" s="5">
        <f>COUNTIF('Test Cases'!B2:B95,A11)</f>
        <v/>
      </c>
      <c r="C11" s="5">
        <f>COUNTIFS('Test Cases'!B2:B95,A11,'Test Cases'!L2:L95,"Pass")</f>
        <v/>
      </c>
      <c r="D11" s="5">
        <f>COUNTIFS('Test Cases'!B2:B95,A11,'Test Cases'!L2:L95,"Fail")</f>
        <v/>
      </c>
      <c r="E11" s="5">
        <f>COUNTIFS('Test Cases'!B2:B95,A11,'Test Cases'!L2:L95,"Blocked")</f>
        <v/>
      </c>
      <c r="F11" s="5">
        <f>COUNTIFS('Test Cases'!B2:B95,A11,'Test Cases'!L2:L95,"Not Run")</f>
        <v/>
      </c>
      <c r="G11" s="5">
        <f>COUNTIFS('Test Cases'!B2:B95,A11,'Test Cases'!L2:L95,"N/A")</f>
        <v/>
      </c>
    </row>
    <row r="12">
      <c r="A12" s="5" t="inlineStr">
        <is>
          <t>AP · Playbook</t>
        </is>
      </c>
      <c r="B12" s="5">
        <f>COUNTIF('Test Cases'!B2:B95,A12)</f>
        <v/>
      </c>
      <c r="C12" s="5">
        <f>COUNTIFS('Test Cases'!B2:B95,A12,'Test Cases'!L2:L95,"Pass")</f>
        <v/>
      </c>
      <c r="D12" s="5">
        <f>COUNTIFS('Test Cases'!B2:B95,A12,'Test Cases'!L2:L95,"Fail")</f>
        <v/>
      </c>
      <c r="E12" s="5">
        <f>COUNTIFS('Test Cases'!B2:B95,A12,'Test Cases'!L2:L95,"Blocked")</f>
        <v/>
      </c>
      <c r="F12" s="5">
        <f>COUNTIFS('Test Cases'!B2:B95,A12,'Test Cases'!L2:L95,"Not Run")</f>
        <v/>
      </c>
      <c r="G12" s="5">
        <f>COUNTIFS('Test Cases'!B2:B95,A12,'Test Cases'!L2:L95,"N/A")</f>
        <v/>
      </c>
    </row>
    <row r="13">
      <c r="A13" s="5" t="inlineStr">
        <is>
          <t>AR · Bank line</t>
        </is>
      </c>
      <c r="B13" s="5">
        <f>COUNTIF('Test Cases'!B2:B95,A13)</f>
        <v/>
      </c>
      <c r="C13" s="5">
        <f>COUNTIFS('Test Cases'!B2:B95,A13,'Test Cases'!L2:L95,"Pass")</f>
        <v/>
      </c>
      <c r="D13" s="5">
        <f>COUNTIFS('Test Cases'!B2:B95,A13,'Test Cases'!L2:L95,"Fail")</f>
        <v/>
      </c>
      <c r="E13" s="5">
        <f>COUNTIFS('Test Cases'!B2:B95,A13,'Test Cases'!L2:L95,"Blocked")</f>
        <v/>
      </c>
      <c r="F13" s="5">
        <f>COUNTIFS('Test Cases'!B2:B95,A13,'Test Cases'!L2:L95,"Not Run")</f>
        <v/>
      </c>
      <c r="G13" s="5">
        <f>COUNTIFS('Test Cases'!B2:B95,A13,'Test Cases'!L2:L95,"N/A")</f>
        <v/>
      </c>
    </row>
    <row r="14">
      <c r="A14" s="5" t="inlineStr">
        <is>
          <t>AR · Advice extraction</t>
        </is>
      </c>
      <c r="B14" s="5">
        <f>COUNTIF('Test Cases'!B2:B95,A14)</f>
        <v/>
      </c>
      <c r="C14" s="5">
        <f>COUNTIFS('Test Cases'!B2:B95,A14,'Test Cases'!L2:L95,"Pass")</f>
        <v/>
      </c>
      <c r="D14" s="5">
        <f>COUNTIFS('Test Cases'!B2:B95,A14,'Test Cases'!L2:L95,"Fail")</f>
        <v/>
      </c>
      <c r="E14" s="5">
        <f>COUNTIFS('Test Cases'!B2:B95,A14,'Test Cases'!L2:L95,"Blocked")</f>
        <v/>
      </c>
      <c r="F14" s="5">
        <f>COUNTIFS('Test Cases'!B2:B95,A14,'Test Cases'!L2:L95,"Not Run")</f>
        <v/>
      </c>
      <c r="G14" s="5">
        <f>COUNTIFS('Test Cases'!B2:B95,A14,'Test Cases'!L2:L95,"N/A")</f>
        <v/>
      </c>
    </row>
    <row r="15">
      <c r="A15" s="5" t="inlineStr">
        <is>
          <t>AR · Customer</t>
        </is>
      </c>
      <c r="B15" s="5">
        <f>COUNTIF('Test Cases'!B2:B95,A15)</f>
        <v/>
      </c>
      <c r="C15" s="5">
        <f>COUNTIFS('Test Cases'!B2:B95,A15,'Test Cases'!L2:L95,"Pass")</f>
        <v/>
      </c>
      <c r="D15" s="5">
        <f>COUNTIFS('Test Cases'!B2:B95,A15,'Test Cases'!L2:L95,"Fail")</f>
        <v/>
      </c>
      <c r="E15" s="5">
        <f>COUNTIFS('Test Cases'!B2:B95,A15,'Test Cases'!L2:L95,"Blocked")</f>
        <v/>
      </c>
      <c r="F15" s="5">
        <f>COUNTIFS('Test Cases'!B2:B95,A15,'Test Cases'!L2:L95,"Not Run")</f>
        <v/>
      </c>
      <c r="G15" s="5">
        <f>COUNTIFS('Test Cases'!B2:B95,A15,'Test Cases'!L2:L95,"N/A")</f>
        <v/>
      </c>
    </row>
    <row r="16">
      <c r="A16" s="5" t="inlineStr">
        <is>
          <t>AR · Open items</t>
        </is>
      </c>
      <c r="B16" s="5">
        <f>COUNTIF('Test Cases'!B2:B95,A16)</f>
        <v/>
      </c>
      <c r="C16" s="5">
        <f>COUNTIFS('Test Cases'!B2:B95,A16,'Test Cases'!L2:L95,"Pass")</f>
        <v/>
      </c>
      <c r="D16" s="5">
        <f>COUNTIFS('Test Cases'!B2:B95,A16,'Test Cases'!L2:L95,"Fail")</f>
        <v/>
      </c>
      <c r="E16" s="5">
        <f>COUNTIFS('Test Cases'!B2:B95,A16,'Test Cases'!L2:L95,"Blocked")</f>
        <v/>
      </c>
      <c r="F16" s="5">
        <f>COUNTIFS('Test Cases'!B2:B95,A16,'Test Cases'!L2:L95,"Not Run")</f>
        <v/>
      </c>
      <c r="G16" s="5">
        <f>COUNTIFS('Test Cases'!B2:B95,A16,'Test Cases'!L2:L95,"N/A")</f>
        <v/>
      </c>
    </row>
    <row r="17">
      <c r="A17" s="5" t="inlineStr">
        <is>
          <t>AR · Matching</t>
        </is>
      </c>
      <c r="B17" s="5">
        <f>COUNTIF('Test Cases'!B2:B95,A17)</f>
        <v/>
      </c>
      <c r="C17" s="5">
        <f>COUNTIFS('Test Cases'!B2:B95,A17,'Test Cases'!L2:L95,"Pass")</f>
        <v/>
      </c>
      <c r="D17" s="5">
        <f>COUNTIFS('Test Cases'!B2:B95,A17,'Test Cases'!L2:L95,"Fail")</f>
        <v/>
      </c>
      <c r="E17" s="5">
        <f>COUNTIFS('Test Cases'!B2:B95,A17,'Test Cases'!L2:L95,"Blocked")</f>
        <v/>
      </c>
      <c r="F17" s="5">
        <f>COUNTIFS('Test Cases'!B2:B95,A17,'Test Cases'!L2:L95,"Not Run")</f>
        <v/>
      </c>
      <c r="G17" s="5">
        <f>COUNTIFS('Test Cases'!B2:B95,A17,'Test Cases'!L2:L95,"N/A")</f>
        <v/>
      </c>
    </row>
    <row r="18">
      <c r="A18" s="5" t="inlineStr">
        <is>
          <t>AR · Deductions</t>
        </is>
      </c>
      <c r="B18" s="5">
        <f>COUNTIF('Test Cases'!B2:B95,A18)</f>
        <v/>
      </c>
      <c r="C18" s="5">
        <f>COUNTIFS('Test Cases'!B2:B95,A18,'Test Cases'!L2:L95,"Pass")</f>
        <v/>
      </c>
      <c r="D18" s="5">
        <f>COUNTIFS('Test Cases'!B2:B95,A18,'Test Cases'!L2:L95,"Fail")</f>
        <v/>
      </c>
      <c r="E18" s="5">
        <f>COUNTIFS('Test Cases'!B2:B95,A18,'Test Cases'!L2:L95,"Blocked")</f>
        <v/>
      </c>
      <c r="F18" s="5">
        <f>COUNTIFS('Test Cases'!B2:B95,A18,'Test Cases'!L2:L95,"Not Run")</f>
        <v/>
      </c>
      <c r="G18" s="5">
        <f>COUNTIFS('Test Cases'!B2:B95,A18,'Test Cases'!L2:L95,"N/A")</f>
        <v/>
      </c>
    </row>
    <row r="19">
      <c r="A19" s="5" t="inlineStr">
        <is>
          <t>AR · Approval</t>
        </is>
      </c>
      <c r="B19" s="5">
        <f>COUNTIF('Test Cases'!B2:B95,A19)</f>
        <v/>
      </c>
      <c r="C19" s="5">
        <f>COUNTIFS('Test Cases'!B2:B95,A19,'Test Cases'!L2:L95,"Pass")</f>
        <v/>
      </c>
      <c r="D19" s="5">
        <f>COUNTIFS('Test Cases'!B2:B95,A19,'Test Cases'!L2:L95,"Fail")</f>
        <v/>
      </c>
      <c r="E19" s="5">
        <f>COUNTIFS('Test Cases'!B2:B95,A19,'Test Cases'!L2:L95,"Blocked")</f>
        <v/>
      </c>
      <c r="F19" s="5">
        <f>COUNTIFS('Test Cases'!B2:B95,A19,'Test Cases'!L2:L95,"Not Run")</f>
        <v/>
      </c>
      <c r="G19" s="5">
        <f>COUNTIFS('Test Cases'!B2:B95,A19,'Test Cases'!L2:L95,"N/A")</f>
        <v/>
      </c>
    </row>
    <row r="20">
      <c r="A20" s="5" t="inlineStr">
        <is>
          <t>AR · SAP clearing</t>
        </is>
      </c>
      <c r="B20" s="5">
        <f>COUNTIF('Test Cases'!B2:B95,A20)</f>
        <v/>
      </c>
      <c r="C20" s="5">
        <f>COUNTIFS('Test Cases'!B2:B95,A20,'Test Cases'!L2:L95,"Pass")</f>
        <v/>
      </c>
      <c r="D20" s="5">
        <f>COUNTIFS('Test Cases'!B2:B95,A20,'Test Cases'!L2:L95,"Fail")</f>
        <v/>
      </c>
      <c r="E20" s="5">
        <f>COUNTIFS('Test Cases'!B2:B95,A20,'Test Cases'!L2:L95,"Blocked")</f>
        <v/>
      </c>
      <c r="F20" s="5">
        <f>COUNTIFS('Test Cases'!B2:B95,A20,'Test Cases'!L2:L95,"Not Run")</f>
        <v/>
      </c>
      <c r="G20" s="5">
        <f>COUNTIFS('Test Cases'!B2:B95,A20,'Test Cases'!L2:L95,"N/A")</f>
        <v/>
      </c>
    </row>
    <row r="21">
      <c r="A21" s="5" t="inlineStr">
        <is>
          <t>AR · Playbook</t>
        </is>
      </c>
      <c r="B21" s="5">
        <f>COUNTIF('Test Cases'!B2:B95,A21)</f>
        <v/>
      </c>
      <c r="C21" s="5">
        <f>COUNTIFS('Test Cases'!B2:B95,A21,'Test Cases'!L2:L95,"Pass")</f>
        <v/>
      </c>
      <c r="D21" s="5">
        <f>COUNTIFS('Test Cases'!B2:B95,A21,'Test Cases'!L2:L95,"Fail")</f>
        <v/>
      </c>
      <c r="E21" s="5">
        <f>COUNTIFS('Test Cases'!B2:B95,A21,'Test Cases'!L2:L95,"Blocked")</f>
        <v/>
      </c>
      <c r="F21" s="5">
        <f>COUNTIFS('Test Cases'!B2:B95,A21,'Test Cases'!L2:L95,"Not Run")</f>
        <v/>
      </c>
      <c r="G21" s="5">
        <f>COUNTIFS('Test Cases'!B2:B95,A21,'Test Cases'!L2:L95,"N/A")</f>
        <v/>
      </c>
    </row>
    <row r="22">
      <c r="A22" s="5" t="inlineStr">
        <is>
          <t>AR · Closure</t>
        </is>
      </c>
      <c r="B22" s="5">
        <f>COUNTIF('Test Cases'!B2:B95,A22)</f>
        <v/>
      </c>
      <c r="C22" s="5">
        <f>COUNTIFS('Test Cases'!B2:B95,A22,'Test Cases'!L2:L95,"Pass")</f>
        <v/>
      </c>
      <c r="D22" s="5">
        <f>COUNTIFS('Test Cases'!B2:B95,A22,'Test Cases'!L2:L95,"Fail")</f>
        <v/>
      </c>
      <c r="E22" s="5">
        <f>COUNTIFS('Test Cases'!B2:B95,A22,'Test Cases'!L2:L95,"Blocked")</f>
        <v/>
      </c>
      <c r="F22" s="5">
        <f>COUNTIFS('Test Cases'!B2:B95,A22,'Test Cases'!L2:L95,"Not Run")</f>
        <v/>
      </c>
      <c r="G22" s="5">
        <f>COUNTIFS('Test Cases'!B2:B95,A22,'Test Cases'!L2:L95,"N/A")</f>
        <v/>
      </c>
    </row>
    <row r="23">
      <c r="A23" s="5" t="inlineStr">
        <is>
          <t>AI governance</t>
        </is>
      </c>
      <c r="B23" s="5">
        <f>COUNTIF('Test Cases'!B2:B95,A23)</f>
        <v/>
      </c>
      <c r="C23" s="5">
        <f>COUNTIFS('Test Cases'!B2:B95,A23,'Test Cases'!L2:L95,"Pass")</f>
        <v/>
      </c>
      <c r="D23" s="5">
        <f>COUNTIFS('Test Cases'!B2:B95,A23,'Test Cases'!L2:L95,"Fail")</f>
        <v/>
      </c>
      <c r="E23" s="5">
        <f>COUNTIFS('Test Cases'!B2:B95,A23,'Test Cases'!L2:L95,"Blocked")</f>
        <v/>
      </c>
      <c r="F23" s="5">
        <f>COUNTIFS('Test Cases'!B2:B95,A23,'Test Cases'!L2:L95,"Not Run")</f>
        <v/>
      </c>
      <c r="G23" s="5">
        <f>COUNTIFS('Test Cases'!B2:B95,A23,'Test Cases'!L2:L95,"N/A")</f>
        <v/>
      </c>
    </row>
    <row r="24">
      <c r="A24" s="5" t="inlineStr">
        <is>
          <t>Security</t>
        </is>
      </c>
      <c r="B24" s="5">
        <f>COUNTIF('Test Cases'!B2:B95,A24)</f>
        <v/>
      </c>
      <c r="C24" s="5">
        <f>COUNTIFS('Test Cases'!B2:B95,A24,'Test Cases'!L2:L95,"Pass")</f>
        <v/>
      </c>
      <c r="D24" s="5">
        <f>COUNTIFS('Test Cases'!B2:B95,A24,'Test Cases'!L2:L95,"Fail")</f>
        <v/>
      </c>
      <c r="E24" s="5">
        <f>COUNTIFS('Test Cases'!B2:B95,A24,'Test Cases'!L2:L95,"Blocked")</f>
        <v/>
      </c>
      <c r="F24" s="5">
        <f>COUNTIFS('Test Cases'!B2:B95,A24,'Test Cases'!L2:L95,"Not Run")</f>
        <v/>
      </c>
      <c r="G24" s="5">
        <f>COUNTIFS('Test Cases'!B2:B95,A24,'Test Cases'!L2:L95,"N/A")</f>
        <v/>
      </c>
    </row>
    <row r="25">
      <c r="A25" s="5" t="inlineStr">
        <is>
          <t>Workspace</t>
        </is>
      </c>
      <c r="B25" s="5">
        <f>COUNTIF('Test Cases'!B2:B95,A25)</f>
        <v/>
      </c>
      <c r="C25" s="5">
        <f>COUNTIFS('Test Cases'!B2:B95,A25,'Test Cases'!L2:L95,"Pass")</f>
        <v/>
      </c>
      <c r="D25" s="5">
        <f>COUNTIFS('Test Cases'!B2:B95,A25,'Test Cases'!L2:L95,"Fail")</f>
        <v/>
      </c>
      <c r="E25" s="5">
        <f>COUNTIFS('Test Cases'!B2:B95,A25,'Test Cases'!L2:L95,"Blocked")</f>
        <v/>
      </c>
      <c r="F25" s="5">
        <f>COUNTIFS('Test Cases'!B2:B95,A25,'Test Cases'!L2:L95,"Not Run")</f>
        <v/>
      </c>
      <c r="G25" s="5">
        <f>COUNTIFS('Test Cases'!B2:B95,A25,'Test Cases'!L2:L95,"N/A")</f>
        <v/>
      </c>
    </row>
    <row r="26">
      <c r="A26" s="5" t="inlineStr">
        <is>
          <t>Operations</t>
        </is>
      </c>
      <c r="B26" s="5">
        <f>COUNTIF('Test Cases'!B2:B95,A26)</f>
        <v/>
      </c>
      <c r="C26" s="5">
        <f>COUNTIFS('Test Cases'!B2:B95,A26,'Test Cases'!L2:L95,"Pass")</f>
        <v/>
      </c>
      <c r="D26" s="5">
        <f>COUNTIFS('Test Cases'!B2:B95,A26,'Test Cases'!L2:L95,"Fail")</f>
        <v/>
      </c>
      <c r="E26" s="5">
        <f>COUNTIFS('Test Cases'!B2:B95,A26,'Test Cases'!L2:L95,"Blocked")</f>
        <v/>
      </c>
      <c r="F26" s="5">
        <f>COUNTIFS('Test Cases'!B2:B95,A26,'Test Cases'!L2:L95,"Not Run")</f>
        <v/>
      </c>
      <c r="G26" s="5">
        <f>COUNTIFS('Test Cases'!B2:B95,A26,'Test Cases'!L2:L95,"N/A")</f>
        <v/>
      </c>
    </row>
    <row r="27">
      <c r="A27" s="5" t="inlineStr">
        <is>
          <t>Security · Approver</t>
        </is>
      </c>
      <c r="B27" s="5">
        <f>COUNTIF('Test Cases'!B2:B95,A27)</f>
        <v/>
      </c>
      <c r="C27" s="5">
        <f>COUNTIFS('Test Cases'!B2:B95,A27,'Test Cases'!L2:L95,"Pass")</f>
        <v/>
      </c>
      <c r="D27" s="5">
        <f>COUNTIFS('Test Cases'!B2:B95,A27,'Test Cases'!L2:L95,"Fail")</f>
        <v/>
      </c>
      <c r="E27" s="5">
        <f>COUNTIFS('Test Cases'!B2:B95,A27,'Test Cases'!L2:L95,"Blocked")</f>
        <v/>
      </c>
      <c r="F27" s="5">
        <f>COUNTIFS('Test Cases'!B2:B95,A27,'Test Cases'!L2:L95,"Not Run")</f>
        <v/>
      </c>
      <c r="G27" s="5">
        <f>COUNTIFS('Test Cases'!B2:B95,A27,'Test Cases'!L2:L95,"N/A")</f>
        <v/>
      </c>
    </row>
    <row r="28">
      <c r="A28" s="5" t="inlineStr">
        <is>
          <t>Approvals</t>
        </is>
      </c>
      <c r="B28" s="5">
        <f>COUNTIF('Test Cases'!B2:B95,A28)</f>
        <v/>
      </c>
      <c r="C28" s="5">
        <f>COUNTIFS('Test Cases'!B2:B95,A28,'Test Cases'!L2:L95,"Pass")</f>
        <v/>
      </c>
      <c r="D28" s="5">
        <f>COUNTIFS('Test Cases'!B2:B95,A28,'Test Cases'!L2:L95,"Fail")</f>
        <v/>
      </c>
      <c r="E28" s="5">
        <f>COUNTIFS('Test Cases'!B2:B95,A28,'Test Cases'!L2:L95,"Blocked")</f>
        <v/>
      </c>
      <c r="F28" s="5">
        <f>COUNTIFS('Test Cases'!B2:B95,A28,'Test Cases'!L2:L95,"Not Run")</f>
        <v/>
      </c>
      <c r="G28" s="5">
        <f>COUNTIFS('Test Cases'!B2:B95,A28,'Test Cases'!L2:L95,"N/A")</f>
        <v/>
      </c>
    </row>
    <row r="29">
      <c r="A29" s="5" t="inlineStr">
        <is>
          <t>AP · Re-run</t>
        </is>
      </c>
      <c r="B29" s="5">
        <f>COUNTIF('Test Cases'!B2:B95,A29)</f>
        <v/>
      </c>
      <c r="C29" s="5">
        <f>COUNTIFS('Test Cases'!B2:B95,A29,'Test Cases'!L2:L95,"Pass")</f>
        <v/>
      </c>
      <c r="D29" s="5">
        <f>COUNTIFS('Test Cases'!B2:B95,A29,'Test Cases'!L2:L95,"Fail")</f>
        <v/>
      </c>
      <c r="E29" s="5">
        <f>COUNTIFS('Test Cases'!B2:B95,A29,'Test Cases'!L2:L95,"Blocked")</f>
        <v/>
      </c>
      <c r="F29" s="5">
        <f>COUNTIFS('Test Cases'!B2:B95,A29,'Test Cases'!L2:L95,"Not Run")</f>
        <v/>
      </c>
      <c r="G29" s="5">
        <f>COUNTIFS('Test Cases'!B2:B95,A29,'Test Cases'!L2:L95,"N/A")</f>
        <v/>
      </c>
    </row>
    <row r="30">
      <c r="A30" s="5" t="inlineStr">
        <is>
          <t>UI · Playbook</t>
        </is>
      </c>
      <c r="B30" s="5">
        <f>COUNTIF('Test Cases'!B2:B95,A30)</f>
        <v/>
      </c>
      <c r="C30" s="5">
        <f>COUNTIFS('Test Cases'!B2:B95,A30,'Test Cases'!L2:L95,"Pass")</f>
        <v/>
      </c>
      <c r="D30" s="5">
        <f>COUNTIFS('Test Cases'!B2:B95,A30,'Test Cases'!L2:L95,"Fail")</f>
        <v/>
      </c>
      <c r="E30" s="5">
        <f>COUNTIFS('Test Cases'!B2:B95,A30,'Test Cases'!L2:L95,"Blocked")</f>
        <v/>
      </c>
      <c r="F30" s="5">
        <f>COUNTIFS('Test Cases'!B2:B95,A30,'Test Cases'!L2:L95,"Not Run")</f>
        <v/>
      </c>
      <c r="G30" s="5">
        <f>COUNTIFS('Test Cases'!B2:B95,A30,'Test Cases'!L2:L95,"N/A")</f>
        <v/>
      </c>
    </row>
    <row r="31">
      <c r="A31" s="5" t="inlineStr">
        <is>
          <t>AR · Correlation</t>
        </is>
      </c>
      <c r="B31" s="5">
        <f>COUNTIF('Test Cases'!B2:B95,A31)</f>
        <v/>
      </c>
      <c r="C31" s="5">
        <f>COUNTIFS('Test Cases'!B2:B95,A31,'Test Cases'!L2:L95,"Pass")</f>
        <v/>
      </c>
      <c r="D31" s="5">
        <f>COUNTIFS('Test Cases'!B2:B95,A31,'Test Cases'!L2:L95,"Fail")</f>
        <v/>
      </c>
      <c r="E31" s="5">
        <f>COUNTIFS('Test Cases'!B2:B95,A31,'Test Cases'!L2:L95,"Blocked")</f>
        <v/>
      </c>
      <c r="F31" s="5">
        <f>COUNTIFS('Test Cases'!B2:B95,A31,'Test Cases'!L2:L95,"Not Run")</f>
        <v/>
      </c>
      <c r="G31" s="5">
        <f>COUNTIFS('Test Cases'!B2:B95,A31,'Test Cases'!L2:L95,"N/A")</f>
        <v/>
      </c>
    </row>
    <row r="32">
      <c r="A32" s="5" t="inlineStr">
        <is>
          <t>AR · Payment</t>
        </is>
      </c>
      <c r="B32" s="5">
        <f>COUNTIF('Test Cases'!B2:B95,A32)</f>
        <v/>
      </c>
      <c r="C32" s="5">
        <f>COUNTIFS('Test Cases'!B2:B95,A32,'Test Cases'!L2:L95,"Pass")</f>
        <v/>
      </c>
      <c r="D32" s="5">
        <f>COUNTIFS('Test Cases'!B2:B95,A32,'Test Cases'!L2:L95,"Fail")</f>
        <v/>
      </c>
      <c r="E32" s="5">
        <f>COUNTIFS('Test Cases'!B2:B95,A32,'Test Cases'!L2:L95,"Blocked")</f>
        <v/>
      </c>
      <c r="F32" s="5">
        <f>COUNTIFS('Test Cases'!B2:B95,A32,'Test Cases'!L2:L95,"Not Run")</f>
        <v/>
      </c>
      <c r="G32" s="5">
        <f>COUNTIFS('Test Cases'!B2:B95,A32,'Test Cases'!L2:L95,"N/A")</f>
        <v/>
      </c>
    </row>
    <row r="33">
      <c r="A33" s="5" t="inlineStr">
        <is>
          <t>Client samples</t>
        </is>
      </c>
      <c r="B33" s="5">
        <f>COUNTIF('Test Cases'!B2:B95,A33)</f>
        <v/>
      </c>
      <c r="C33" s="5">
        <f>COUNTIFS('Test Cases'!B2:B95,A33,'Test Cases'!L2:L95,"Pass")</f>
        <v/>
      </c>
      <c r="D33" s="5">
        <f>COUNTIFS('Test Cases'!B2:B95,A33,'Test Cases'!L2:L95,"Fail")</f>
        <v/>
      </c>
      <c r="E33" s="5">
        <f>COUNTIFS('Test Cases'!B2:B95,A33,'Test Cases'!L2:L95,"Blocked")</f>
        <v/>
      </c>
      <c r="F33" s="5">
        <f>COUNTIFS('Test Cases'!B2:B95,A33,'Test Cases'!L2:L95,"Not Run")</f>
        <v/>
      </c>
      <c r="G33" s="5">
        <f>COUNTIFS('Test Cases'!B2:B95,A33,'Test Cases'!L2:L95,"N/A")</f>
        <v/>
      </c>
    </row>
    <row r="34">
      <c r="A34" s="6" t="inlineStr">
        <is>
          <t>Total</t>
        </is>
      </c>
      <c r="B34" s="6">
        <f>SUM(B2:B33)</f>
        <v/>
      </c>
      <c r="C34" s="6">
        <f>SUM(C2:C33)</f>
        <v/>
      </c>
      <c r="D34" s="6">
        <f>SUM(D2:D33)</f>
        <v/>
      </c>
      <c r="E34" s="6">
        <f>SUM(E2:E33)</f>
        <v/>
      </c>
      <c r="F34" s="6">
        <f>SUM(F2:F33)</f>
        <v/>
      </c>
      <c r="G34" s="6">
        <f>SUM(G2:G33)</f>
        <v/>
      </c>
    </row>
    <row r="35">
      <c r="A35" s="5" t="inlineStr">
        <is>
          <t>E2E AP (steps)</t>
        </is>
      </c>
      <c r="B35" s="5">
        <f>COUNTA('E2E AP'!A2:A11)</f>
        <v/>
      </c>
      <c r="C35" s="5">
        <f>COUNTIF('E2E AP'!F2:F11,"Pass")</f>
        <v/>
      </c>
      <c r="D35" s="5">
        <f>COUNTIF('E2E AP'!F2:F11,"Fail")</f>
        <v/>
      </c>
      <c r="E35" s="5">
        <f>COUNTIF('E2E AP'!F2:F11,"Blocked")</f>
        <v/>
      </c>
      <c r="F35" s="5">
        <f>COUNTIF('E2E AP'!F2:F11,"Not Run")</f>
        <v/>
      </c>
      <c r="G35" s="5">
        <f>COUNTIF('E2E AP'!F2:F11,"N/A")</f>
        <v/>
      </c>
    </row>
    <row r="36">
      <c r="A36" s="5" t="inlineStr">
        <is>
          <t>E2E AR (steps)</t>
        </is>
      </c>
      <c r="B36" s="5">
        <f>COUNTA('E2E AR'!A2:A11)</f>
        <v/>
      </c>
      <c r="C36" s="5">
        <f>COUNTIF('E2E AR'!F2:F11,"Pass")</f>
        <v/>
      </c>
      <c r="D36" s="5">
        <f>COUNTIF('E2E AR'!F2:F11,"Fail")</f>
        <v/>
      </c>
      <c r="E36" s="5">
        <f>COUNTIF('E2E AR'!F2:F11,"Blocked")</f>
        <v/>
      </c>
      <c r="F36" s="5">
        <f>COUNTIF('E2E AR'!F2:F11,"Not Run")</f>
        <v/>
      </c>
      <c r="G36" s="5">
        <f>COUNTIF('E2E AR'!F2:F11,"N/A")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30" customWidth="1" min="3" max="3"/>
    <col width="9" customWidth="1" min="4" max="4"/>
    <col width="10" customWidth="1" min="5" max="5"/>
    <col width="22" customWidth="1" min="6" max="6"/>
    <col width="30" customWidth="1" min="7" max="7"/>
    <col width="48" customWidth="1" min="8" max="8"/>
    <col width="52" customWidth="1" min="9" max="9"/>
    <col width="18" customWidth="1" min="10" max="10"/>
    <col width="30" customWidth="1" min="11" max="11"/>
    <col width="11" customWidth="1" min="12" max="12"/>
    <col width="12" customWidth="1" min="13" max="13"/>
    <col width="11" customWidth="1" min="14" max="14"/>
    <col width="11" customWidth="1" min="15" max="15"/>
    <col width="24" customWidth="1" min="16" max="16"/>
  </cols>
  <sheetData>
    <row r="1" ht="30" customHeight="1">
      <c r="A1" s="7" t="inlineStr">
        <is>
          <t>Test ID</t>
        </is>
      </c>
      <c r="B1" s="7" t="inlineStr">
        <is>
          <t>Area</t>
        </is>
      </c>
      <c r="C1" s="7" t="inlineStr">
        <is>
          <t>Scenario</t>
        </is>
      </c>
      <c r="D1" s="7" t="inlineStr">
        <is>
          <t>Priority</t>
        </is>
      </c>
      <c r="E1" s="7" t="inlineStr">
        <is>
          <t>Type</t>
        </is>
      </c>
      <c r="F1" s="7" t="inlineStr">
        <is>
          <t>Persona</t>
        </is>
      </c>
      <c r="G1" s="7" t="inlineStr">
        <is>
          <t>Preconditions / data</t>
        </is>
      </c>
      <c r="H1" s="7" t="inlineStr">
        <is>
          <t>Steps</t>
        </is>
      </c>
      <c r="I1" s="7" t="inlineStr">
        <is>
          <t>Expected result</t>
        </is>
      </c>
      <c r="J1" s="7" t="inlineStr">
        <is>
          <t>Evidence to capture</t>
        </is>
      </c>
      <c r="K1" s="7" t="inlineStr">
        <is>
          <t>Actual result</t>
        </is>
      </c>
      <c r="L1" s="7" t="inlineStr">
        <is>
          <t>Status</t>
        </is>
      </c>
      <c r="M1" s="7" t="inlineStr">
        <is>
          <t>Tester</t>
        </is>
      </c>
      <c r="N1" s="7" t="inlineStr">
        <is>
          <t>Date</t>
        </is>
      </c>
      <c r="O1" s="7" t="inlineStr">
        <is>
          <t>Defect ID</t>
        </is>
      </c>
      <c r="P1" s="7" t="inlineStr">
        <is>
          <t>Comments</t>
        </is>
      </c>
    </row>
    <row r="2">
      <c r="A2" s="8" t="inlineStr">
        <is>
          <t>AP-INT-01</t>
        </is>
      </c>
      <c r="B2" s="8" t="inlineStr">
        <is>
          <t>AP · Intake</t>
        </is>
      </c>
      <c r="C2" s="8" t="inlineStr">
        <is>
          <t>Upload an AP invoice and start processing</t>
        </is>
      </c>
      <c r="D2" s="8" t="inlineStr">
        <is>
          <t>High</t>
        </is>
      </c>
      <c r="E2" s="8" t="inlineStr">
        <is>
          <t>Positive</t>
        </is>
      </c>
      <c r="F2" s="8" t="inlineStr">
        <is>
          <t>AP Processor (bcfa.ap.processor)</t>
        </is>
      </c>
      <c r="G2" s="8" t="inlineStr">
        <is>
          <t>Demo pack prepared (Test Data R2). File test/fixtures/AP_INV_&lt;suffix&gt;_DEMO_NATIVE.pdf.</t>
        </is>
      </c>
      <c r="H2" s="8" t="inlineStr">
        <is>
          <t>1. BCFA Workspace &gt; Document Intake &gt; New.
2. Document Type = AP Invoice. Attach the PDF. Save.
3. Click Process Document.</t>
        </is>
      </c>
      <c r="I2" s="8" t="inlineStr">
        <is>
          <t>Info message: "Native extraction is running (ServiceNow Document Intelligence)…". Intake Processing Status = Extracting; Extraction Provider = Native: ServiceNow Document Intelligence (Now LLM).</t>
        </is>
      </c>
      <c r="J2" s="8" t="inlineStr">
        <is>
          <t>Screenshot of the intake</t>
        </is>
      </c>
      <c r="K2" s="8" t="inlineStr"/>
      <c r="L2" s="8" t="inlineStr">
        <is>
          <t>Not Run</t>
        </is>
      </c>
      <c r="M2" s="8" t="inlineStr"/>
      <c r="N2" s="8" t="inlineStr"/>
      <c r="O2" s="8" t="inlineStr"/>
      <c r="P2" s="8" t="inlineStr"/>
    </row>
    <row r="3">
      <c r="A3" s="9" t="inlineStr">
        <is>
          <t>AP-INT-02</t>
        </is>
      </c>
      <c r="B3" s="9" t="inlineStr">
        <is>
          <t>AP · Intake</t>
        </is>
      </c>
      <c r="C3" s="9" t="inlineStr">
        <is>
          <t>Asynchronous completion</t>
        </is>
      </c>
      <c r="D3" s="9" t="inlineStr">
        <is>
          <t>High</t>
        </is>
      </c>
      <c r="E3" s="9" t="inlineStr">
        <is>
          <t>Positive</t>
        </is>
      </c>
      <c r="F3" s="9" t="inlineStr">
        <is>
          <t>AP Processor (bcfa.ap.processor)</t>
        </is>
      </c>
      <c r="G3" s="9" t="inlineStr">
        <is>
          <t>AP-INT-01 done.</t>
        </is>
      </c>
      <c r="H3" s="9" t="inlineStr">
        <is>
          <t>1. Wait about 1 minute (job BCFA - Native Extraction Poller runs every minute).
2. Refresh the intake.</t>
        </is>
      </c>
      <c r="I3" s="9" t="inlineStr">
        <is>
          <t>Processing Status = Completed; AP Invoice field links to INV-AP-&lt;suffix&gt;; Extraction Confidence = 1.</t>
        </is>
      </c>
      <c r="J3" s="9" t="inlineStr">
        <is>
          <t>Intake and invoice number</t>
        </is>
      </c>
      <c r="K3" s="9" t="inlineStr"/>
      <c r="L3" s="9" t="inlineStr">
        <is>
          <t>Not Run</t>
        </is>
      </c>
      <c r="M3" s="9" t="inlineStr"/>
      <c r="N3" s="9" t="inlineStr"/>
      <c r="O3" s="9" t="inlineStr"/>
      <c r="P3" s="9" t="inlineStr"/>
    </row>
    <row r="4">
      <c r="A4" s="8" t="inlineStr">
        <is>
          <t>AP-INT-03</t>
        </is>
      </c>
      <c r="B4" s="8" t="inlineStr">
        <is>
          <t>AP · Intake</t>
        </is>
      </c>
      <c r="C4" s="8" t="inlineStr">
        <is>
          <t>Duplicate upload of the same file</t>
        </is>
      </c>
      <c r="D4" s="8" t="inlineStr">
        <is>
          <t>Medium</t>
        </is>
      </c>
      <c r="E4" s="8" t="inlineStr">
        <is>
          <t>Negative</t>
        </is>
      </c>
      <c r="F4" s="8" t="inlineStr">
        <is>
          <t>AP Processor (bcfa.ap.processor)</t>
        </is>
      </c>
      <c r="G4" s="8" t="inlineStr">
        <is>
          <t>AP-INT-02 done.</t>
        </is>
      </c>
      <c r="H4" s="8" t="inlineStr">
        <is>
          <t>1. Create a new intake, attach the SAME PDF, Process Document.</t>
        </is>
      </c>
      <c r="I4" s="8" t="inlineStr">
        <is>
          <t>Processing Status = Completed with message "Duplicate of FDI-… — reusing its result, no new transaction created". No second invoice.</t>
        </is>
      </c>
      <c r="J4" s="8" t="inlineStr">
        <is>
          <t>Intake message</t>
        </is>
      </c>
      <c r="K4" s="8" t="inlineStr"/>
      <c r="L4" s="8" t="inlineStr">
        <is>
          <t>Not Run</t>
        </is>
      </c>
      <c r="M4" s="8" t="inlineStr"/>
      <c r="N4" s="8" t="inlineStr"/>
      <c r="O4" s="8" t="inlineStr"/>
      <c r="P4" s="8" t="inlineStr"/>
    </row>
    <row r="5">
      <c r="A5" s="9" t="inlineStr">
        <is>
          <t>AP-INT-04</t>
        </is>
      </c>
      <c r="B5" s="9" t="inlineStr">
        <is>
          <t>AP · Intake</t>
        </is>
      </c>
      <c r="C5" s="9" t="inlineStr">
        <is>
          <t>Document type missing</t>
        </is>
      </c>
      <c r="D5" s="9" t="inlineStr">
        <is>
          <t>Medium</t>
        </is>
      </c>
      <c r="E5" s="9" t="inlineStr">
        <is>
          <t>Negative</t>
        </is>
      </c>
      <c r="F5" s="9" t="inlineStr">
        <is>
          <t>AP Processor (bcfa.ap.processor)</t>
        </is>
      </c>
      <c r="G5" s="9" t="inlineStr">
        <is>
          <t>—</t>
        </is>
      </c>
      <c r="H5" s="9" t="inlineStr">
        <is>
          <t>1. New intake without Document Type (or Unknown), attach any PDF, Save, Process Document.</t>
        </is>
      </c>
      <c r="I5" s="9" t="inlineStr">
        <is>
          <t>Processing Status = Review Required: "Set the document type … then process the document again." Nothing extracted.</t>
        </is>
      </c>
      <c r="J5" s="9" t="inlineStr">
        <is>
          <t>Intake message</t>
        </is>
      </c>
      <c r="K5" s="9" t="inlineStr"/>
      <c r="L5" s="9" t="inlineStr">
        <is>
          <t>Not Run</t>
        </is>
      </c>
      <c r="M5" s="9" t="inlineStr"/>
      <c r="N5" s="9" t="inlineStr"/>
      <c r="O5" s="9" t="inlineStr"/>
      <c r="P5" s="9" t="inlineStr"/>
    </row>
    <row r="6">
      <c r="A6" s="8" t="inlineStr">
        <is>
          <t>AP-OCR-01</t>
        </is>
      </c>
      <c r="B6" s="8" t="inlineStr">
        <is>
          <t>AP · Extraction</t>
        </is>
      </c>
      <c r="C6" s="8" t="inlineStr">
        <is>
          <t>Header and line fields read natively</t>
        </is>
      </c>
      <c r="D6" s="8" t="inlineStr">
        <is>
          <t>High</t>
        </is>
      </c>
      <c r="E6" s="8" t="inlineStr">
        <is>
          <t>Positive</t>
        </is>
      </c>
      <c r="F6" s="8" t="inlineStr">
        <is>
          <t>AP Processor (bcfa.ap.processor)</t>
        </is>
      </c>
      <c r="G6" s="8" t="inlineStr">
        <is>
          <t>AP-INT-02 done.</t>
        </is>
      </c>
      <c r="H6" s="8" t="inlineStr">
        <is>
          <t>1. Open INV-AP-&lt;suffix&gt;. Read the Review Summary and the Extraction related list.
2. Compare with the PDF.</t>
        </is>
      </c>
      <c r="I6" s="8" t="inlineStr">
        <is>
          <t>Vendor Rajasthan Carbon Feedstock Pvt Ltd, PO0001, INR, net 5,000, IGST 900, total 5,900, 1 line 100 MT × 50. Extraction source = ServiceNow Document Intelligence (Now LLM); banner NATIVE EXTRACTION.</t>
        </is>
      </c>
      <c r="J6" s="8" t="inlineStr">
        <is>
          <t>Review Summary screenshot</t>
        </is>
      </c>
      <c r="K6" s="8" t="inlineStr"/>
      <c r="L6" s="8" t="inlineStr">
        <is>
          <t>Not Run</t>
        </is>
      </c>
      <c r="M6" s="8" t="inlineStr"/>
      <c r="N6" s="8" t="inlineStr"/>
      <c r="O6" s="8" t="inlineStr"/>
      <c r="P6" s="8" t="inlineStr"/>
    </row>
    <row r="7">
      <c r="A7" s="9" t="inlineStr">
        <is>
          <t>AP-OCR-02</t>
        </is>
      </c>
      <c r="B7" s="9" t="inlineStr">
        <is>
          <t>AP · Extraction</t>
        </is>
      </c>
      <c r="C7" s="9" t="inlineStr">
        <is>
          <t>Tax breakdown, country and language recorded as printed</t>
        </is>
      </c>
      <c r="D7" s="9" t="inlineStr">
        <is>
          <t>High</t>
        </is>
      </c>
      <c r="E7" s="9" t="inlineStr">
        <is>
          <t>Positive</t>
        </is>
      </c>
      <c r="F7" s="9" t="inlineStr">
        <is>
          <t>AP Processor (bcfa.ap.processor)</t>
        </is>
      </c>
      <c r="G7" s="9" t="inlineStr">
        <is>
          <t>AP-INT-02 done.</t>
        </is>
      </c>
      <c r="H7" s="9" t="inlineStr">
        <is>
          <t>1. On INV-AP-&lt;suffix&gt; check Tax Type, Tax Rate Pct, IGST Amount, Document Country, Document Language.</t>
        </is>
      </c>
      <c r="I7" s="9" t="inlineStr">
        <is>
          <t>Tax Type IGST, rate 18, IGST 900, country India, language English.</t>
        </is>
      </c>
      <c r="J7" s="9" t="inlineStr">
        <is>
          <t>Field values</t>
        </is>
      </c>
      <c r="K7" s="9" t="inlineStr"/>
      <c r="L7" s="9" t="inlineStr">
        <is>
          <t>Not Run</t>
        </is>
      </c>
      <c r="M7" s="9" t="inlineStr"/>
      <c r="N7" s="9" t="inlineStr"/>
      <c r="O7" s="9" t="inlineStr"/>
      <c r="P7" s="9" t="inlineStr"/>
    </row>
    <row r="8">
      <c r="A8" s="8" t="inlineStr">
        <is>
          <t>AP-OCR-03</t>
        </is>
      </c>
      <c r="B8" s="8" t="inlineStr">
        <is>
          <t>AP · Extraction</t>
        </is>
      </c>
      <c r="C8" s="8" t="inlineStr">
        <is>
          <t>Multi-country fixture read (vendor not in master data)</t>
        </is>
      </c>
      <c r="D8" s="8" t="inlineStr">
        <is>
          <t>Medium</t>
        </is>
      </c>
      <c r="E8" s="8" t="inlineStr">
        <is>
          <t>Positive</t>
        </is>
      </c>
      <c r="F8" s="8" t="inlineStr">
        <is>
          <t>AP Processor (bcfa.ap.processor)</t>
        </is>
      </c>
      <c r="G8" s="8" t="inlineStr">
        <is>
          <t>Fixture test/fixtures/AP_INV_103_VAT7_DE.pdf (German, MwSt. 7 %).</t>
        </is>
      </c>
      <c r="H8" s="8" t="inlineStr">
        <is>
          <t>1. New intake, AP Invoice, attach the PDF, Process Document; wait 1 minute; refresh.
2. Open Extraction JSON on the intake.</t>
        </is>
      </c>
      <c r="I8" s="8" t="inlineStr">
        <is>
          <t>Extraction JSON shows Elbtal Fachverlag GmbH, R-2026-3391, EUR, net 2058.80, tax 144.12, total 2202.92, rate 7, 2 lines. Intake Completed and an AP invoice is created with Vendor (Printed) Elbtal Fachverlag GmbH; the invoice goes to EXCEPTION Vendor Invalid (the vendor is not in the demo master data) — expected.</t>
        </is>
      </c>
      <c r="J8" s="8" t="inlineStr">
        <is>
          <t>Extraction JSON, invoice and exception</t>
        </is>
      </c>
      <c r="K8" s="8" t="inlineStr"/>
      <c r="L8" s="8" t="inlineStr">
        <is>
          <t>Not Run</t>
        </is>
      </c>
      <c r="M8" s="8" t="inlineStr"/>
      <c r="N8" s="8" t="inlineStr"/>
      <c r="O8" s="8" t="inlineStr"/>
      <c r="P8" s="8" t="inlineStr"/>
    </row>
    <row r="9">
      <c r="A9" s="9" t="inlineStr">
        <is>
          <t>AP-OCR-04</t>
        </is>
      </c>
      <c r="B9" s="9" t="inlineStr">
        <is>
          <t>AP · Extraction</t>
        </is>
      </c>
      <c r="C9" s="9" t="inlineStr">
        <is>
          <t>Low confidence goes to a person</t>
        </is>
      </c>
      <c r="D9" s="9" t="inlineStr">
        <is>
          <t>High</t>
        </is>
      </c>
      <c r="E9" s="9" t="inlineStr">
        <is>
          <t>Negative</t>
        </is>
      </c>
      <c r="F9" s="9" t="inlineStr">
        <is>
          <t>AP Processor (bcfa.ap.processor)</t>
        </is>
      </c>
      <c r="G9" s="9" t="inlineStr">
        <is>
          <t>Fixture AP_INV_006_LOW_CONFIDENCE.pdf (vendor unreadable).</t>
        </is>
      </c>
      <c r="H9" s="9" t="inlineStr">
        <is>
          <t>1. New intake, AP Invoice, attach, Process Document; wait; refresh.</t>
        </is>
      </c>
      <c r="I9" s="9" t="inlineStr">
        <is>
          <t>Review Required with message "Extraction confidence … is below the 0.85 review threshold" and the warnings (e.g. Required field not read: vendor_name). No invoice created.</t>
        </is>
      </c>
      <c r="J9" s="9" t="inlineStr">
        <is>
          <t>Intake message</t>
        </is>
      </c>
      <c r="K9" s="9" t="inlineStr"/>
      <c r="L9" s="9" t="inlineStr">
        <is>
          <t>Not Run</t>
        </is>
      </c>
      <c r="M9" s="9" t="inlineStr"/>
      <c r="N9" s="9" t="inlineStr"/>
      <c r="O9" s="9" t="inlineStr"/>
      <c r="P9" s="9" t="inlineStr"/>
    </row>
    <row r="10">
      <c r="A10" s="8" t="inlineStr">
        <is>
          <t>AP-OCR-05</t>
        </is>
      </c>
      <c r="B10" s="8" t="inlineStr">
        <is>
          <t>AP · Extraction</t>
        </is>
      </c>
      <c r="C10" s="8" t="inlineStr">
        <is>
          <t>No fallback to simulated values</t>
        </is>
      </c>
      <c r="D10" s="8" t="inlineStr">
        <is>
          <t>High</t>
        </is>
      </c>
      <c r="E10" s="8" t="inlineStr">
        <is>
          <t>Negative</t>
        </is>
      </c>
      <c r="F10" s="8" t="inlineStr">
        <is>
          <t>Admin</t>
        </is>
      </c>
      <c r="G10" s="8" t="inlineStr">
        <is>
          <t>Property document.extraction.provider = native.</t>
        </is>
      </c>
      <c r="H10" s="8" t="inlineStr">
        <is>
          <t>1. Review the CP-EXT ATF result (Test Data R4) or upload a non-invoice PDF as AP Invoice.</t>
        </is>
      </c>
      <c r="I10" s="8" t="inlineStr">
        <is>
          <t>A document that cannot be read goes to manual review; nothing is filled from fixture values; no SIMULATED label appears.</t>
        </is>
      </c>
      <c r="J10" s="8" t="inlineStr">
        <is>
          <t>ATF result / intake</t>
        </is>
      </c>
      <c r="K10" s="8" t="inlineStr"/>
      <c r="L10" s="8" t="inlineStr">
        <is>
          <t>Not Run</t>
        </is>
      </c>
      <c r="M10" s="8" t="inlineStr"/>
      <c r="N10" s="8" t="inlineStr"/>
      <c r="O10" s="8" t="inlineStr"/>
      <c r="P10" s="8" t="inlineStr"/>
    </row>
    <row r="11">
      <c r="A11" s="9" t="inlineStr">
        <is>
          <t>AP-VAL-01</t>
        </is>
      </c>
      <c r="B11" s="9" t="inlineStr">
        <is>
          <t>AP · Validation</t>
        </is>
      </c>
      <c r="C11" s="9" t="inlineStr">
        <is>
          <t>Duplicate invoice detected</t>
        </is>
      </c>
      <c r="D11" s="9" t="inlineStr">
        <is>
          <t>High</t>
        </is>
      </c>
      <c r="E11" s="9" t="inlineStr">
        <is>
          <t>Negative</t>
        </is>
      </c>
      <c r="F11" s="9" t="inlineStr">
        <is>
          <t>AP Processor (bcfa.ap.processor)</t>
        </is>
      </c>
      <c r="G11" s="9" t="inlineStr">
        <is>
          <t>Demo data reset done (Test Data sheet, step R1).</t>
        </is>
      </c>
      <c r="H11" s="9" t="inlineStr">
        <is>
          <t>1. Open the AP exception of INV-AP-001 with reason Duplicate (scenario AP-002).</t>
        </is>
      </c>
      <c r="I11" s="9" t="inlineStr">
        <is>
          <t>Reason Duplicate, severity High, rule result names the earlier invoice; journey stage 3 blocked.</t>
        </is>
      </c>
      <c r="J11" s="9" t="inlineStr">
        <is>
          <t>Exception</t>
        </is>
      </c>
      <c r="K11" s="9" t="inlineStr"/>
      <c r="L11" s="9" t="inlineStr">
        <is>
          <t>Not Run</t>
        </is>
      </c>
      <c r="M11" s="9" t="inlineStr"/>
      <c r="N11" s="9" t="inlineStr"/>
      <c r="O11" s="9" t="inlineStr"/>
      <c r="P11" s="9" t="inlineStr"/>
    </row>
    <row r="12">
      <c r="A12" s="8" t="inlineStr">
        <is>
          <t>AP-VAL-02</t>
        </is>
      </c>
      <c r="B12" s="8" t="inlineStr">
        <is>
          <t>AP · Validation</t>
        </is>
      </c>
      <c r="C12" s="8" t="inlineStr">
        <is>
          <t>PO mismatch</t>
        </is>
      </c>
      <c r="D12" s="8" t="inlineStr">
        <is>
          <t>Medium</t>
        </is>
      </c>
      <c r="E12" s="8" t="inlineStr">
        <is>
          <t>Negative</t>
        </is>
      </c>
      <c r="F12" s="8" t="inlineStr">
        <is>
          <t>AP Processor (bcfa.ap.processor)</t>
        </is>
      </c>
      <c r="G12" s="8" t="inlineStr">
        <is>
          <t>Demo data reset done (Test Data sheet, step R1).</t>
        </is>
      </c>
      <c r="H12" s="8" t="inlineStr">
        <is>
          <t>1. Open INV-AP-003 and its exception.</t>
        </is>
      </c>
      <c r="I12" s="8" t="inlineStr">
        <is>
          <t>Exception PO mismatch; stage 3 blocked; WHY explains the PO check.</t>
        </is>
      </c>
      <c r="J12" s="8" t="inlineStr">
        <is>
          <t>Exception</t>
        </is>
      </c>
      <c r="K12" s="8" t="inlineStr"/>
      <c r="L12" s="8" t="inlineStr">
        <is>
          <t>Not Run</t>
        </is>
      </c>
      <c r="M12" s="8" t="inlineStr"/>
      <c r="N12" s="8" t="inlineStr"/>
      <c r="O12" s="8" t="inlineStr"/>
      <c r="P12" s="8" t="inlineStr"/>
    </row>
    <row r="13">
      <c r="A13" s="9" t="inlineStr">
        <is>
          <t>AP-TAX-01</t>
        </is>
      </c>
      <c r="B13" s="9" t="inlineStr">
        <is>
          <t>AP · Tax</t>
        </is>
      </c>
      <c r="C13" s="9" t="inlineStr">
        <is>
          <t>Valid GST (IGST) passes</t>
        </is>
      </c>
      <c r="D13" s="9" t="inlineStr">
        <is>
          <t>High</t>
        </is>
      </c>
      <c r="E13" s="9" t="inlineStr">
        <is>
          <t>Positive</t>
        </is>
      </c>
      <c r="F13" s="9" t="inlineStr">
        <is>
          <t>AP Processor (bcfa.ap.processor)</t>
        </is>
      </c>
      <c r="G13" s="9" t="inlineStr">
        <is>
          <t>AP-INT-02 done.</t>
        </is>
      </c>
      <c r="H13" s="9" t="inlineStr">
        <is>
          <t>1. On INV-AP-&lt;suffix&gt; read Tax Regime, Expected Tax Amount, Tax Validation, Tax Validation Detail, Tax Rule Source.</t>
        </is>
      </c>
      <c r="I13" s="9" t="inlineStr">
        <is>
          <t>Regime GST, expected 900, result Pass; detail lists "PASS: tax 900 vs expected 900 …" and "PASS: IGST 900 (inter-state) agrees with the total tax"; rule source = decision table BCFA AP Tax Expectation (India: GST 18 %) - POC REFERENCE DATA.</t>
        </is>
      </c>
      <c r="J13" s="9" t="inlineStr">
        <is>
          <t>Tax fields</t>
        </is>
      </c>
      <c r="K13" s="9" t="inlineStr"/>
      <c r="L13" s="9" t="inlineStr">
        <is>
          <t>Not Run</t>
        </is>
      </c>
      <c r="M13" s="9" t="inlineStr"/>
      <c r="N13" s="9" t="inlineStr"/>
      <c r="O13" s="9" t="inlineStr"/>
      <c r="P13" s="9" t="inlineStr"/>
    </row>
    <row r="14">
      <c r="A14" s="8" t="inlineStr">
        <is>
          <t>AP-TAX-02</t>
        </is>
      </c>
      <c r="B14" s="8" t="inlineStr">
        <is>
          <t>AP · Tax</t>
        </is>
      </c>
      <c r="C14" s="8" t="inlineStr">
        <is>
          <t>GST mismatch raises a tax exception</t>
        </is>
      </c>
      <c r="D14" s="8" t="inlineStr">
        <is>
          <t>High</t>
        </is>
      </c>
      <c r="E14" s="8" t="inlineStr">
        <is>
          <t>Negative</t>
        </is>
      </c>
      <c r="F14" s="8" t="inlineStr">
        <is>
          <t>AP Processor (bcfa.ap.processor)</t>
        </is>
      </c>
      <c r="G14" s="8" t="inlineStr">
        <is>
          <t>Admin ran scripts/deploy/phase40_e2e_bg.js (Test Data, step R3); note the run code shown, e.g. 63D87.</t>
        </is>
      </c>
      <c r="H14" s="8" t="inlineStr">
        <is>
          <t>1. Open invoice E2E-&lt;run&gt;-T2 and its exception.</t>
        </is>
      </c>
      <c r="I14" s="8" t="inlineStr">
        <is>
          <t>Tax Validation Fail, expected 900 vs printed 50; exception reason Tax validation, subtype gst; evidence lists each tax check; AI note (if any) is advisory only.</t>
        </is>
      </c>
      <c r="J14" s="8" t="inlineStr">
        <is>
          <t>Exception</t>
        </is>
      </c>
      <c r="K14" s="8" t="inlineStr"/>
      <c r="L14" s="8" t="inlineStr">
        <is>
          <t>Not Run</t>
        </is>
      </c>
      <c r="M14" s="8" t="inlineStr"/>
      <c r="N14" s="8" t="inlineStr"/>
      <c r="O14" s="8" t="inlineStr"/>
      <c r="P14" s="8" t="inlineStr"/>
    </row>
    <row r="15">
      <c r="A15" s="9" t="inlineStr">
        <is>
          <t>AP-TAX-03</t>
        </is>
      </c>
      <c r="B15" s="9" t="inlineStr">
        <is>
          <t>AP · Tax</t>
        </is>
      </c>
      <c r="C15" s="9" t="inlineStr">
        <is>
          <t>CGST + SGST equal halves pass</t>
        </is>
      </c>
      <c r="D15" s="9" t="inlineStr">
        <is>
          <t>Medium</t>
        </is>
      </c>
      <c r="E15" s="9" t="inlineStr">
        <is>
          <t>Positive</t>
        </is>
      </c>
      <c r="F15" s="9" t="inlineStr">
        <is>
          <t>AP Processor (bcfa.ap.processor)</t>
        </is>
      </c>
      <c r="G15" s="9" t="inlineStr">
        <is>
          <t>Admin ran scripts/deploy/phase40_e2e_bg.js (Test Data, step R3); note the run code shown, e.g. 63D87.</t>
        </is>
      </c>
      <c r="H15" s="9" t="inlineStr">
        <is>
          <t>1. Open E2E-&lt;run&gt;-T1.</t>
        </is>
      </c>
      <c r="I15" s="9" t="inlineStr">
        <is>
          <t>Tax Validation Pass; tolerance rule stored on the match.</t>
        </is>
      </c>
      <c r="J15" s="9" t="inlineStr">
        <is>
          <t>Invoice</t>
        </is>
      </c>
      <c r="K15" s="9" t="inlineStr"/>
      <c r="L15" s="9" t="inlineStr">
        <is>
          <t>Not Run</t>
        </is>
      </c>
      <c r="M15" s="9" t="inlineStr"/>
      <c r="N15" s="9" t="inlineStr"/>
      <c r="O15" s="9" t="inlineStr"/>
      <c r="P15" s="9" t="inlineStr"/>
    </row>
    <row r="16">
      <c r="A16" s="8" t="inlineStr">
        <is>
          <t>AP-TAX-04</t>
        </is>
      </c>
      <c r="B16" s="8" t="inlineStr">
        <is>
          <t>AP · Tax</t>
        </is>
      </c>
      <c r="C16" s="8" t="inlineStr">
        <is>
          <t>VAT rate mismatch (7 % printed, 19 % expected for Germany)</t>
        </is>
      </c>
      <c r="D16" s="8" t="inlineStr">
        <is>
          <t>High</t>
        </is>
      </c>
      <c r="E16" s="8" t="inlineStr">
        <is>
          <t>Negative</t>
        </is>
      </c>
      <c r="F16" s="8" t="inlineStr">
        <is>
          <t>AP Processor (bcfa.ap.processor)</t>
        </is>
      </c>
      <c r="G16" s="8" t="inlineStr">
        <is>
          <t>Admin ran scripts/deploy/phase40_e2e_bg.js (Test Data, step R3); note the run code shown, e.g. 63D87.</t>
        </is>
      </c>
      <c r="H16" s="8" t="inlineStr">
        <is>
          <t>1. Open E2E-&lt;run&gt;-T4 and its exception.</t>
        </is>
      </c>
      <c r="I16" s="8" t="inlineStr">
        <is>
          <t>Result Fail; subtype vat; detail names "printed tax rate 7 %" and the expected 19 %.</t>
        </is>
      </c>
      <c r="J16" s="8" t="inlineStr">
        <is>
          <t>Exception</t>
        </is>
      </c>
      <c r="K16" s="8" t="inlineStr"/>
      <c r="L16" s="8" t="inlineStr">
        <is>
          <t>Not Run</t>
        </is>
      </c>
      <c r="M16" s="8" t="inlineStr"/>
      <c r="N16" s="8" t="inlineStr"/>
      <c r="O16" s="8" t="inlineStr"/>
      <c r="P16" s="8" t="inlineStr"/>
    </row>
    <row r="17">
      <c r="A17" s="9" t="inlineStr">
        <is>
          <t>AP-TAX-05</t>
        </is>
      </c>
      <c r="B17" s="9" t="inlineStr">
        <is>
          <t>AP · Tax</t>
        </is>
      </c>
      <c r="C17" s="9" t="inlineStr">
        <is>
          <t>Withholding applicable and correct</t>
        </is>
      </c>
      <c r="D17" s="9" t="inlineStr">
        <is>
          <t>High</t>
        </is>
      </c>
      <c r="E17" s="9" t="inlineStr">
        <is>
          <t>Positive</t>
        </is>
      </c>
      <c r="F17" s="9" t="inlineStr">
        <is>
          <t>AP Processor (bcfa.ap.processor)</t>
        </is>
      </c>
      <c r="G17" s="9" t="inlineStr">
        <is>
          <t>Admin ran scripts/deploy/phase40_e2e_bg.js (Test Data, step R3); note the run code shown, e.g. 63D87.</t>
        </is>
      </c>
      <c r="H17" s="9" t="inlineStr">
        <is>
          <t>1. Open E2E-&lt;run&gt;-T5.</t>
        </is>
      </c>
      <c r="I17" s="9" t="inlineStr">
        <is>
          <t>WHT Applicable = true (from configuration: India services), WHT Code IN-TDS-SERVICES (POC), expected 100, WHT Result Pass; invoice matched.</t>
        </is>
      </c>
      <c r="J17" s="9" t="inlineStr">
        <is>
          <t>Invoice</t>
        </is>
      </c>
      <c r="K17" s="9" t="inlineStr"/>
      <c r="L17" s="9" t="inlineStr">
        <is>
          <t>Not Run</t>
        </is>
      </c>
      <c r="M17" s="9" t="inlineStr"/>
      <c r="N17" s="9" t="inlineStr"/>
      <c r="O17" s="9" t="inlineStr"/>
      <c r="P17" s="9" t="inlineStr"/>
    </row>
    <row r="18">
      <c r="A18" s="8" t="inlineStr">
        <is>
          <t>AP-TAX-06</t>
        </is>
      </c>
      <c r="B18" s="8" t="inlineStr">
        <is>
          <t>AP · Tax</t>
        </is>
      </c>
      <c r="C18" s="8" t="inlineStr">
        <is>
          <t>Withholding mismatch</t>
        </is>
      </c>
      <c r="D18" s="8" t="inlineStr">
        <is>
          <t>High</t>
        </is>
      </c>
      <c r="E18" s="8" t="inlineStr">
        <is>
          <t>Negative</t>
        </is>
      </c>
      <c r="F18" s="8" t="inlineStr">
        <is>
          <t>AP Processor (bcfa.ap.processor)</t>
        </is>
      </c>
      <c r="G18" s="8" t="inlineStr">
        <is>
          <t>Admin ran scripts/deploy/phase40_e2e_bg.js (Test Data, step R3); note the run code shown, e.g. 63D87.</t>
        </is>
      </c>
      <c r="H18" s="8" t="inlineStr">
        <is>
          <t>1. Open E2E-&lt;run&gt;-T6 and its exception.</t>
        </is>
      </c>
      <c r="I18" s="8" t="inlineStr">
        <is>
          <t>WHT Result Fail; exception subtype withholding_tax; variance 150 (250 printed vs 100 expected).</t>
        </is>
      </c>
      <c r="J18" s="8" t="inlineStr">
        <is>
          <t>Exception</t>
        </is>
      </c>
      <c r="K18" s="8" t="inlineStr"/>
      <c r="L18" s="8" t="inlineStr">
        <is>
          <t>Not Run</t>
        </is>
      </c>
      <c r="M18" s="8" t="inlineStr"/>
      <c r="N18" s="8" t="inlineStr"/>
      <c r="O18" s="8" t="inlineStr"/>
      <c r="P18" s="8" t="inlineStr"/>
    </row>
    <row r="19">
      <c r="A19" s="9" t="inlineStr">
        <is>
          <t>AP-TAX-07</t>
        </is>
      </c>
      <c r="B19" s="9" t="inlineStr">
        <is>
          <t>AP · Tax</t>
        </is>
      </c>
      <c r="C19" s="9" t="inlineStr">
        <is>
          <t>Country without a tax rule goes to manual review</t>
        </is>
      </c>
      <c r="D19" s="9" t="inlineStr">
        <is>
          <t>Medium</t>
        </is>
      </c>
      <c r="E19" s="9" t="inlineStr">
        <is>
          <t>Negative</t>
        </is>
      </c>
      <c r="F19" s="9" t="inlineStr">
        <is>
          <t>Admin</t>
        </is>
      </c>
      <c r="G19" s="9" t="inlineStr">
        <is>
          <t>ATF CP-TAX (Test Data R4).</t>
        </is>
      </c>
      <c r="H19" s="9" t="inlineStr">
        <is>
          <t>1. Open the latest CP-TAX result.</t>
        </is>
      </c>
      <c r="I19" s="9" t="inlineStr">
        <is>
          <t>Assertion "withholding printed but not configured needs manual review" and the UNKNOWN regime rule pass.</t>
        </is>
      </c>
      <c r="J19" s="9" t="inlineStr">
        <is>
          <t>ATF result</t>
        </is>
      </c>
      <c r="K19" s="9" t="inlineStr"/>
      <c r="L19" s="9" t="inlineStr">
        <is>
          <t>Not Run</t>
        </is>
      </c>
      <c r="M19" s="9" t="inlineStr"/>
      <c r="N19" s="9" t="inlineStr"/>
      <c r="O19" s="9" t="inlineStr"/>
      <c r="P19" s="9" t="inlineStr"/>
    </row>
    <row r="20">
      <c r="A20" s="8" t="inlineStr">
        <is>
          <t>AP-TOL-01</t>
        </is>
      </c>
      <c r="B20" s="8" t="inlineStr">
        <is>
          <t>AP · Tolerance</t>
        </is>
      </c>
      <c r="C20" s="8" t="inlineStr">
        <is>
          <t>Quantity within tolerance</t>
        </is>
      </c>
      <c r="D20" s="8" t="inlineStr">
        <is>
          <t>High</t>
        </is>
      </c>
      <c r="E20" s="8" t="inlineStr">
        <is>
          <t>Positive</t>
        </is>
      </c>
      <c r="F20" s="8" t="inlineStr">
        <is>
          <t>AP Processor (bcfa.ap.processor)</t>
        </is>
      </c>
      <c r="G20" s="8" t="inlineStr">
        <is>
          <t>Admin ran scripts/deploy/phase40_e2e_bg.js (Test Data, step R3); note the run code shown, e.g. 63D87.</t>
        </is>
      </c>
      <c r="H20" s="8" t="inlineStr">
        <is>
          <t>1. Open E2E-&lt;run&gt;-Q1 &gt; AP Match related list.</t>
        </is>
      </c>
      <c r="I20" s="8" t="inlineStr">
        <is>
          <t>Matched; Tolerance Source = decision table; Quantity Tolerance Pct 0.02; Tolerance Detail shows expected 100, actual 101, variance 1 %, WITHIN TOLERANCE.</t>
        </is>
      </c>
      <c r="J20" s="8" t="inlineStr">
        <is>
          <t>Match record</t>
        </is>
      </c>
      <c r="K20" s="8" t="inlineStr"/>
      <c r="L20" s="8" t="inlineStr">
        <is>
          <t>Not Run</t>
        </is>
      </c>
      <c r="M20" s="8" t="inlineStr"/>
      <c r="N20" s="8" t="inlineStr"/>
      <c r="O20" s="8" t="inlineStr"/>
      <c r="P20" s="8" t="inlineStr"/>
    </row>
    <row r="21">
      <c r="A21" s="9" t="inlineStr">
        <is>
          <t>AP-TOL-02</t>
        </is>
      </c>
      <c r="B21" s="9" t="inlineStr">
        <is>
          <t>AP · Tolerance</t>
        </is>
      </c>
      <c r="C21" s="9" t="inlineStr">
        <is>
          <t>Quantity outside tolerance</t>
        </is>
      </c>
      <c r="D21" s="9" t="inlineStr">
        <is>
          <t>High</t>
        </is>
      </c>
      <c r="E21" s="9" t="inlineStr">
        <is>
          <t>Negative</t>
        </is>
      </c>
      <c r="F21" s="9" t="inlineStr">
        <is>
          <t>AP Processor (bcfa.ap.processor)</t>
        </is>
      </c>
      <c r="G21" s="9" t="inlineStr">
        <is>
          <t>Admin ran scripts/deploy/phase40_e2e_bg.js (Test Data, step R3); note the run code shown, e.g. 63D87.</t>
        </is>
      </c>
      <c r="H21" s="9" t="inlineStr">
        <is>
          <t>1. Open E2E-&lt;run&gt;-Q2 and its exception.</t>
        </is>
      </c>
      <c r="I21" s="9" t="inlineStr">
        <is>
          <t>Exception Quantity tolerance; variance 10 %; evidence names the tolerance rule; journey stage 4 blocked.</t>
        </is>
      </c>
      <c r="J21" s="9" t="inlineStr">
        <is>
          <t>Exception</t>
        </is>
      </c>
      <c r="K21" s="9" t="inlineStr"/>
      <c r="L21" s="9" t="inlineStr">
        <is>
          <t>Not Run</t>
        </is>
      </c>
      <c r="M21" s="9" t="inlineStr"/>
      <c r="N21" s="9" t="inlineStr"/>
      <c r="O21" s="9" t="inlineStr"/>
      <c r="P21" s="9" t="inlineStr"/>
    </row>
    <row r="22">
      <c r="A22" s="8" t="inlineStr">
        <is>
          <t>AP-TOL-03</t>
        </is>
      </c>
      <c r="B22" s="8" t="inlineStr">
        <is>
          <t>AP · Tolerance</t>
        </is>
      </c>
      <c r="C22" s="8" t="inlineStr">
        <is>
          <t>Price variance</t>
        </is>
      </c>
      <c r="D22" s="8" t="inlineStr">
        <is>
          <t>Medium</t>
        </is>
      </c>
      <c r="E22" s="8" t="inlineStr">
        <is>
          <t>Negative</t>
        </is>
      </c>
      <c r="F22" s="8" t="inlineStr">
        <is>
          <t>AP Processor (bcfa.ap.processor)</t>
        </is>
      </c>
      <c r="G22" s="8" t="inlineStr">
        <is>
          <t>Demo data reset done (Test Data sheet, step R1).</t>
        </is>
      </c>
      <c r="H22" s="8" t="inlineStr">
        <is>
          <t>1. Open INV-AP-005 (or INV-PLAY-02).</t>
        </is>
      </c>
      <c r="I22" s="8" t="inlineStr">
        <is>
          <t>Exception Price tolerance; match result shows the price variance and tolerance.</t>
        </is>
      </c>
      <c r="J22" s="8" t="inlineStr">
        <is>
          <t>Exception</t>
        </is>
      </c>
      <c r="K22" s="8" t="inlineStr"/>
      <c r="L22" s="8" t="inlineStr">
        <is>
          <t>Not Run</t>
        </is>
      </c>
      <c r="M22" s="8" t="inlineStr"/>
      <c r="N22" s="8" t="inlineStr"/>
      <c r="O22" s="8" t="inlineStr"/>
      <c r="P22" s="8" t="inlineStr"/>
    </row>
    <row r="23">
      <c r="A23" s="9" t="inlineStr">
        <is>
          <t>AP-TOL-04</t>
        </is>
      </c>
      <c r="B23" s="9" t="inlineStr">
        <is>
          <t>AP · Tolerance</t>
        </is>
      </c>
      <c r="C23" s="9" t="inlineStr">
        <is>
          <t>Tolerances are configuration, not code</t>
        </is>
      </c>
      <c r="D23" s="9" t="inlineStr">
        <is>
          <t>Medium</t>
        </is>
      </c>
      <c r="E23" s="9" t="inlineStr">
        <is>
          <t>Positive</t>
        </is>
      </c>
      <c r="F23" s="9" t="inlineStr">
        <is>
          <t>Admin</t>
        </is>
      </c>
      <c r="G23" s="9" t="inlineStr">
        <is>
          <t>—</t>
        </is>
      </c>
      <c r="H23" s="9" t="inlineStr">
        <is>
          <t>1. Decision Builder (or Decision Tables list) &gt; BCFA AP Tolerance. Review rows.
2. System Properties: x_695068_bcfa.ap.tolerance.*.</t>
        </is>
      </c>
      <c r="I23" s="9" t="inlineStr">
        <is>
          <t>Default row 2 % quantity, 2 % price, tax 1 / 2 %, total 1, rounding 0.05; properties hold the same values as fallback. Do not change on the shared instance unless agreed.</t>
        </is>
      </c>
      <c r="J23" s="9" t="inlineStr">
        <is>
          <t>Screenshot</t>
        </is>
      </c>
      <c r="K23" s="9" t="inlineStr"/>
      <c r="L23" s="9" t="inlineStr">
        <is>
          <t>Not Run</t>
        </is>
      </c>
      <c r="M23" s="9" t="inlineStr"/>
      <c r="N23" s="9" t="inlineStr"/>
      <c r="O23" s="9" t="inlineStr"/>
      <c r="P23" s="9" t="inlineStr"/>
    </row>
    <row r="24">
      <c r="A24" s="8" t="inlineStr">
        <is>
          <t>AP-GRN-01</t>
        </is>
      </c>
      <c r="B24" s="8" t="inlineStr">
        <is>
          <t>AP · Match</t>
        </is>
      </c>
      <c r="C24" s="8" t="inlineStr">
        <is>
          <t>Receipt missing</t>
        </is>
      </c>
      <c r="D24" s="8" t="inlineStr">
        <is>
          <t>Medium</t>
        </is>
      </c>
      <c r="E24" s="8" t="inlineStr">
        <is>
          <t>Negative</t>
        </is>
      </c>
      <c r="F24" s="8" t="inlineStr">
        <is>
          <t>AP Processor (bcfa.ap.processor)</t>
        </is>
      </c>
      <c r="G24" s="8" t="inlineStr">
        <is>
          <t>An invoice line without a receipt.</t>
        </is>
      </c>
      <c r="H24" s="8" t="inlineStr">
        <is>
          <t>1. Re-run Match on the invoice.</t>
        </is>
      </c>
      <c r="I24" s="8" t="inlineStr">
        <is>
          <t>Exception GRN missing; stage 4 blocked.</t>
        </is>
      </c>
      <c r="J24" s="8" t="inlineStr">
        <is>
          <t>Exception</t>
        </is>
      </c>
      <c r="K24" s="8" t="inlineStr"/>
      <c r="L24" s="8" t="inlineStr">
        <is>
          <t>Not Run</t>
        </is>
      </c>
      <c r="M24" s="8" t="inlineStr"/>
      <c r="N24" s="8" t="inlineStr"/>
      <c r="O24" s="8" t="inlineStr"/>
      <c r="P24" s="8" t="inlineStr"/>
    </row>
    <row r="25">
      <c r="A25" s="9" t="inlineStr">
        <is>
          <t>AP-EXC-01</t>
        </is>
      </c>
      <c r="B25" s="9" t="inlineStr">
        <is>
          <t>AP · Exceptions</t>
        </is>
      </c>
      <c r="C25" s="9" t="inlineStr">
        <is>
          <t>Exception framework fields</t>
        </is>
      </c>
      <c r="D25" s="9" t="inlineStr">
        <is>
          <t>Medium</t>
        </is>
      </c>
      <c r="E25" s="9" t="inlineStr">
        <is>
          <t>Positive</t>
        </is>
      </c>
      <c r="F25" s="9" t="inlineStr">
        <is>
          <t>AP Processor (bcfa.ap.processor)</t>
        </is>
      </c>
      <c r="G25" s="9" t="inlineStr">
        <is>
          <t>Demo data reset done (Test Data sheet, step R1).</t>
        </is>
      </c>
      <c r="H25" s="9" t="inlineStr">
        <is>
          <t>1. Open the exception of INV-AP-004.</t>
        </is>
      </c>
      <c r="I25" s="9" t="inlineStr">
        <is>
          <t>Number APEX…, severity, priority, owner, assignment group, SLA due, SLA status, aging bucket, rule result, evidence, variance, AI recommendation (advisory).</t>
        </is>
      </c>
      <c r="J25" s="9" t="inlineStr">
        <is>
          <t>Exception form</t>
        </is>
      </c>
      <c r="K25" s="9" t="inlineStr"/>
      <c r="L25" s="9" t="inlineStr">
        <is>
          <t>Not Run</t>
        </is>
      </c>
      <c r="M25" s="9" t="inlineStr"/>
      <c r="N25" s="9" t="inlineStr"/>
      <c r="O25" s="9" t="inlineStr"/>
      <c r="P25" s="9" t="inlineStr"/>
    </row>
    <row r="26">
      <c r="A26" s="8" t="inlineStr">
        <is>
          <t>AP-EXC-02</t>
        </is>
      </c>
      <c r="B26" s="8" t="inlineStr">
        <is>
          <t>AP · Exceptions</t>
        </is>
      </c>
      <c r="C26" s="8" t="inlineStr">
        <is>
          <t>Explain with AI (advisory)</t>
        </is>
      </c>
      <c r="D26" s="8" t="inlineStr">
        <is>
          <t>High</t>
        </is>
      </c>
      <c r="E26" s="8" t="inlineStr">
        <is>
          <t>Positive</t>
        </is>
      </c>
      <c r="F26" s="8" t="inlineStr">
        <is>
          <t>AP Processor (bcfa.ap.processor)</t>
        </is>
      </c>
      <c r="G26" s="8" t="inlineStr">
        <is>
          <t>Demo data reset done (Test Data sheet, step R1).</t>
        </is>
      </c>
      <c r="H26" s="8" t="inlineStr">
        <is>
          <t>1. On an open AP exception click Explain with AI; wait up to 60 s; refresh.</t>
        </is>
      </c>
      <c r="I26" s="8" t="inlineStr">
        <is>
          <t>AI recommendation updated; AI Interaction Log row (provider now_assist, guardrail); invoice state and exception status unchanged.</t>
        </is>
      </c>
      <c r="J26" s="8" t="inlineStr">
        <is>
          <t>AI Interaction Log</t>
        </is>
      </c>
      <c r="K26" s="8" t="inlineStr"/>
      <c r="L26" s="8" t="inlineStr">
        <is>
          <t>Not Run</t>
        </is>
      </c>
      <c r="M26" s="8" t="inlineStr"/>
      <c r="N26" s="8" t="inlineStr"/>
      <c r="O26" s="8" t="inlineStr"/>
      <c r="P26" s="8" t="inlineStr"/>
    </row>
    <row r="27">
      <c r="A27" s="9" t="inlineStr">
        <is>
          <t>AP-EXC-03</t>
        </is>
      </c>
      <c r="B27" s="9" t="inlineStr">
        <is>
          <t>AP · Exceptions</t>
        </is>
      </c>
      <c r="C27" s="9" t="inlineStr">
        <is>
          <t>Hold / Request Correction / Resolve &amp; Retry</t>
        </is>
      </c>
      <c r="D27" s="9" t="inlineStr">
        <is>
          <t>Medium</t>
        </is>
      </c>
      <c r="E27" s="9" t="inlineStr">
        <is>
          <t>Positive</t>
        </is>
      </c>
      <c r="F27" s="9" t="inlineStr">
        <is>
          <t>AP Processor (bcfa.ap.processor)</t>
        </is>
      </c>
      <c r="G27" s="9" t="inlineStr">
        <is>
          <t>Demo data reset done (Test Data sheet, step R1).</t>
        </is>
      </c>
      <c r="H27" s="9" t="inlineStr">
        <is>
          <t>1. Enter a Decision Reason, Update.
2. Click Hold (or Request Correction).
3. On another exception click Resolve &amp; Retry.</t>
        </is>
      </c>
      <c r="I27" s="9" t="inlineStr">
        <is>
          <t>Decision and comment recorded; Resolve &amp; Retry re-validates and re-matches; journey refreshes; audit human_review event.</t>
        </is>
      </c>
      <c r="J27" s="9" t="inlineStr">
        <is>
          <t>Audit Events</t>
        </is>
      </c>
      <c r="K27" s="9" t="inlineStr"/>
      <c r="L27" s="9" t="inlineStr">
        <is>
          <t>Not Run</t>
        </is>
      </c>
      <c r="M27" s="9" t="inlineStr"/>
      <c r="N27" s="9" t="inlineStr"/>
      <c r="O27" s="9" t="inlineStr"/>
      <c r="P27" s="9" t="inlineStr"/>
    </row>
    <row r="28">
      <c r="A28" s="8" t="inlineStr">
        <is>
          <t>AP-EXC-04</t>
        </is>
      </c>
      <c r="B28" s="8" t="inlineStr">
        <is>
          <t>AP · Exceptions</t>
        </is>
      </c>
      <c r="C28" s="8" t="inlineStr">
        <is>
          <t>Override needs a reason</t>
        </is>
      </c>
      <c r="D28" s="8" t="inlineStr">
        <is>
          <t>High</t>
        </is>
      </c>
      <c r="E28" s="8" t="inlineStr">
        <is>
          <t>Negative</t>
        </is>
      </c>
      <c r="F28" s="8" t="inlineStr">
        <is>
          <t>Finance Approver (bcfa.finance.approver)</t>
        </is>
      </c>
      <c r="G28" s="8" t="inlineStr">
        <is>
          <t>Demo data reset done (Test Data sheet, step R1).</t>
        </is>
      </c>
      <c r="H28" s="8" t="inlineStr">
        <is>
          <t>1. On the quantity exception of INV-AP-004, with an empty Decision Reason, click Approve Override.</t>
        </is>
      </c>
      <c r="I28" s="8" t="inlineStr">
        <is>
          <t>Refused: a reason of at least 10 characters is mandatory. Nothing changes.</t>
        </is>
      </c>
      <c r="J28" s="8" t="inlineStr">
        <is>
          <t>Error message</t>
        </is>
      </c>
      <c r="K28" s="8" t="inlineStr"/>
      <c r="L28" s="8" t="inlineStr">
        <is>
          <t>Not Run</t>
        </is>
      </c>
      <c r="M28" s="8" t="inlineStr"/>
      <c r="N28" s="8" t="inlineStr"/>
      <c r="O28" s="8" t="inlineStr"/>
      <c r="P28" s="8" t="inlineStr"/>
    </row>
    <row r="29">
      <c r="A29" s="9" t="inlineStr">
        <is>
          <t>AP-EXC-05</t>
        </is>
      </c>
      <c r="B29" s="9" t="inlineStr">
        <is>
          <t>AP · Exceptions</t>
        </is>
      </c>
      <c r="C29" s="9" t="inlineStr">
        <is>
          <t>Override by an authorised approver (D6 workaround)</t>
        </is>
      </c>
      <c r="D29" s="9" t="inlineStr">
        <is>
          <t>High</t>
        </is>
      </c>
      <c r="E29" s="9" t="inlineStr">
        <is>
          <t>Positive</t>
        </is>
      </c>
      <c r="F29" s="9" t="inlineStr">
        <is>
          <t>AP Processor (bcfa.ap.processor), then Finance Controller (bcfa.finance.controller)</t>
        </is>
      </c>
      <c r="G29" s="9" t="inlineStr">
        <is>
          <t>Demo data reset done (Test Data sheet, step R1).</t>
        </is>
      </c>
      <c r="H29" s="9" t="inlineStr">
        <is>
          <t>1. As AP Processor: enter Decision Reason "Receipt of 5 additional units confirmed by warehouse", Update.
2. As Finance Controller: click Approve Override.</t>
        </is>
      </c>
      <c r="I29" s="9" t="inlineStr">
        <is>
          <t>Override approved; approval recorded with the controller as approver and SoD checks; invoice posts to MOCK SAP and closes. (Approvers cannot type the reason themselves: known defect D6.)</t>
        </is>
      </c>
      <c r="J29" s="9" t="inlineStr">
        <is>
          <t>Approval + invoice</t>
        </is>
      </c>
      <c r="K29" s="9" t="inlineStr"/>
      <c r="L29" s="9" t="inlineStr">
        <is>
          <t>Not Run</t>
        </is>
      </c>
      <c r="M29" s="9" t="inlineStr"/>
      <c r="N29" s="9" t="inlineStr"/>
      <c r="O29" s="9" t="inlineStr"/>
      <c r="P29" s="9" t="inlineStr"/>
    </row>
    <row r="30">
      <c r="A30" s="8" t="inlineStr">
        <is>
          <t>AP-EXC-06</t>
        </is>
      </c>
      <c r="B30" s="8" t="inlineStr">
        <is>
          <t>AP · Exceptions</t>
        </is>
      </c>
      <c r="C30" s="8" t="inlineStr">
        <is>
          <t>Duplicate cannot be overridden</t>
        </is>
      </c>
      <c r="D30" s="8" t="inlineStr">
        <is>
          <t>Medium</t>
        </is>
      </c>
      <c r="E30" s="8" t="inlineStr">
        <is>
          <t>Negative</t>
        </is>
      </c>
      <c r="F30" s="8" t="inlineStr">
        <is>
          <t>Finance Approver (bcfa.finance.approver)</t>
        </is>
      </c>
      <c r="G30" s="8" t="inlineStr">
        <is>
          <t>Demo data reset done (Test Data sheet, step R1).</t>
        </is>
      </c>
      <c r="H30" s="8" t="inlineStr">
        <is>
          <t>1. On the duplicate exception click Approve Override (with a reason).</t>
        </is>
      </c>
      <c r="I30" s="8" t="inlineStr">
        <is>
          <t>Refused by policy: duplicates are not an allowed override reason.</t>
        </is>
      </c>
      <c r="J30" s="8" t="inlineStr">
        <is>
          <t>Error message</t>
        </is>
      </c>
      <c r="K30" s="8" t="inlineStr"/>
      <c r="L30" s="8" t="inlineStr">
        <is>
          <t>Not Run</t>
        </is>
      </c>
      <c r="M30" s="8" t="inlineStr"/>
      <c r="N30" s="8" t="inlineStr"/>
      <c r="O30" s="8" t="inlineStr"/>
      <c r="P30" s="8" t="inlineStr"/>
    </row>
    <row r="31">
      <c r="A31" s="9" t="inlineStr">
        <is>
          <t>AP-APR-01</t>
        </is>
      </c>
      <c r="B31" s="9" t="inlineStr">
        <is>
          <t>AP · Approval</t>
        </is>
      </c>
      <c r="C31" s="9" t="inlineStr">
        <is>
          <t>Approve a matched invoice</t>
        </is>
      </c>
      <c r="D31" s="9" t="inlineStr">
        <is>
          <t>High</t>
        </is>
      </c>
      <c r="E31" s="9" t="inlineStr">
        <is>
          <t>Positive</t>
        </is>
      </c>
      <c r="F31" s="9" t="inlineStr">
        <is>
          <t>Finance Approver (bcfa.finance.approver)</t>
        </is>
      </c>
      <c r="G31" s="9" t="inlineStr">
        <is>
          <t>AP-INT-02 done (INV-AP-&lt;suffix&gt; PENDING_APPROVAL).</t>
        </is>
      </c>
      <c r="H31" s="9" t="inlineStr">
        <is>
          <t>1. AP &gt; Approvals &gt; open the approval for INV-AP-&lt;suffix&gt;.
2. Optional comment in Decision Notes. Click Approve.
3. Wait a few seconds; open the invoice.</t>
        </is>
      </c>
      <c r="I31" s="9" t="inlineStr">
        <is>
          <t>Approval decided (SoD: not AI, holds ap_approver, not requester, not processor, member of BCFA Finance Approvers). Invoice APPROVED -&gt; POSTING -&gt; POSTED -&gt; CLOSED.</t>
        </is>
      </c>
      <c r="J31" s="9" t="inlineStr">
        <is>
          <t>Approval + invoice</t>
        </is>
      </c>
      <c r="K31" s="9" t="inlineStr"/>
      <c r="L31" s="9" t="inlineStr">
        <is>
          <t>Not Run</t>
        </is>
      </c>
      <c r="M31" s="9" t="inlineStr"/>
      <c r="N31" s="9" t="inlineStr"/>
      <c r="O31" s="9" t="inlineStr"/>
      <c r="P31" s="9" t="inlineStr"/>
    </row>
    <row r="32">
      <c r="A32" s="8" t="inlineStr">
        <is>
          <t>AP-APR-02</t>
        </is>
      </c>
      <c r="B32" s="8" t="inlineStr">
        <is>
          <t>AP · Approval</t>
        </is>
      </c>
      <c r="C32" s="8" t="inlineStr">
        <is>
          <t>Reject an approval</t>
        </is>
      </c>
      <c r="D32" s="8" t="inlineStr">
        <is>
          <t>Medium</t>
        </is>
      </c>
      <c r="E32" s="8" t="inlineStr">
        <is>
          <t>Negative</t>
        </is>
      </c>
      <c r="F32" s="8" t="inlineStr">
        <is>
          <t>Finance Approver (bcfa.finance.approver)</t>
        </is>
      </c>
      <c r="G32" s="8" t="inlineStr">
        <is>
          <t>A pending AP approval.</t>
        </is>
      </c>
      <c r="H32" s="8" t="inlineStr">
        <is>
          <t>1. Enter Decision Notes, click Reject.</t>
        </is>
      </c>
      <c r="I32" s="8" t="inlineStr">
        <is>
          <t>Invoice REJECTED; nothing posted; audit approval_decision.</t>
        </is>
      </c>
      <c r="J32" s="8" t="inlineStr">
        <is>
          <t>Invoice</t>
        </is>
      </c>
      <c r="K32" s="8" t="inlineStr"/>
      <c r="L32" s="8" t="inlineStr">
        <is>
          <t>Not Run</t>
        </is>
      </c>
      <c r="M32" s="8" t="inlineStr"/>
      <c r="N32" s="8" t="inlineStr"/>
      <c r="O32" s="8" t="inlineStr"/>
      <c r="P32" s="8" t="inlineStr"/>
    </row>
    <row r="33">
      <c r="A33" s="9" t="inlineStr">
        <is>
          <t>AP-APR-03</t>
        </is>
      </c>
      <c r="B33" s="9" t="inlineStr">
        <is>
          <t>AP · Approval</t>
        </is>
      </c>
      <c r="C33" s="9" t="inlineStr">
        <is>
          <t>Requester cannot approve</t>
        </is>
      </c>
      <c r="D33" s="9" t="inlineStr">
        <is>
          <t>High</t>
        </is>
      </c>
      <c r="E33" s="9" t="inlineStr">
        <is>
          <t>Negative</t>
        </is>
      </c>
      <c r="F33" s="9" t="inlineStr">
        <is>
          <t>The user who requested the approval</t>
        </is>
      </c>
      <c r="G33" s="9" t="inlineStr">
        <is>
          <t>A pending approval you requested.</t>
        </is>
      </c>
      <c r="H33" s="9" t="inlineStr">
        <is>
          <t>1. Click Approve.</t>
        </is>
      </c>
      <c r="I33" s="9" t="inlineStr">
        <is>
          <t>Refused: "the requester cannot approve their own request"; audited; nothing changes.</t>
        </is>
      </c>
      <c r="J33" s="9" t="inlineStr">
        <is>
          <t>Error message</t>
        </is>
      </c>
      <c r="K33" s="9" t="inlineStr"/>
      <c r="L33" s="9" t="inlineStr">
        <is>
          <t>Not Run</t>
        </is>
      </c>
      <c r="M33" s="9" t="inlineStr"/>
      <c r="N33" s="9" t="inlineStr"/>
      <c r="O33" s="9" t="inlineStr"/>
      <c r="P33" s="9" t="inlineStr"/>
    </row>
    <row r="34">
      <c r="A34" s="8" t="inlineStr">
        <is>
          <t>AP-APR-04</t>
        </is>
      </c>
      <c r="B34" s="8" t="inlineStr">
        <is>
          <t>AP · Approval</t>
        </is>
      </c>
      <c r="C34" s="8" t="inlineStr">
        <is>
          <t>Processor role cannot approve</t>
        </is>
      </c>
      <c r="D34" s="8" t="inlineStr">
        <is>
          <t>High</t>
        </is>
      </c>
      <c r="E34" s="8" t="inlineStr">
        <is>
          <t>Negative</t>
        </is>
      </c>
      <c r="F34" s="8" t="inlineStr">
        <is>
          <t>AP Processor (bcfa.ap.processor)</t>
        </is>
      </c>
      <c r="G34" s="8" t="inlineStr">
        <is>
          <t>A pending AP approval.</t>
        </is>
      </c>
      <c r="H34" s="8" t="inlineStr">
        <is>
          <t>1. Open it.</t>
        </is>
      </c>
      <c r="I34" s="8" t="inlineStr">
        <is>
          <t>Approve / Reject not available (role ap_approver required).</t>
        </is>
      </c>
      <c r="J34" s="8" t="inlineStr">
        <is>
          <t>Screenshot</t>
        </is>
      </c>
      <c r="K34" s="8" t="inlineStr"/>
      <c r="L34" s="8" t="inlineStr">
        <is>
          <t>Not Run</t>
        </is>
      </c>
      <c r="M34" s="8" t="inlineStr"/>
      <c r="N34" s="8" t="inlineStr"/>
      <c r="O34" s="8" t="inlineStr"/>
      <c r="P34" s="8" t="inlineStr"/>
    </row>
    <row r="35">
      <c r="A35" s="9" t="inlineStr">
        <is>
          <t>AP-APR-05</t>
        </is>
      </c>
      <c r="B35" s="9" t="inlineStr">
        <is>
          <t>AP · Approval</t>
        </is>
      </c>
      <c r="C35" s="9" t="inlineStr">
        <is>
          <t>High value routed to Finance Controllers</t>
        </is>
      </c>
      <c r="D35" s="9" t="inlineStr">
        <is>
          <t>Medium</t>
        </is>
      </c>
      <c r="E35" s="9" t="inlineStr">
        <is>
          <t>Positive</t>
        </is>
      </c>
      <c r="F35" s="9" t="inlineStr">
        <is>
          <t>Admin</t>
        </is>
      </c>
      <c r="G35" s="9" t="inlineStr">
        <is>
          <t>Decision table BCFA AP Approval.</t>
        </is>
      </c>
      <c r="H35" s="9" t="inlineStr">
        <is>
          <t>1. Review rows: tolerance exception &gt; 10 % or amount &gt; 1,000,000 -&gt; Finance Controllers; default -&gt; Finance Approvers.</t>
        </is>
      </c>
      <c r="I35" s="9" t="inlineStr">
        <is>
          <t>Rows as described; approval_group on approvals follows them.</t>
        </is>
      </c>
      <c r="J35" s="9" t="inlineStr">
        <is>
          <t>Screenshot</t>
        </is>
      </c>
      <c r="K35" s="9" t="inlineStr"/>
      <c r="L35" s="9" t="inlineStr">
        <is>
          <t>Not Run</t>
        </is>
      </c>
      <c r="M35" s="9" t="inlineStr"/>
      <c r="N35" s="9" t="inlineStr"/>
      <c r="O35" s="9" t="inlineStr"/>
      <c r="P35" s="9" t="inlineStr"/>
    </row>
    <row r="36">
      <c r="A36" s="8" t="inlineStr">
        <is>
          <t>AP-SAP-01</t>
        </is>
      </c>
      <c r="B36" s="8" t="inlineStr">
        <is>
          <t>AP · SAP posting</t>
        </is>
      </c>
      <c r="C36" s="8" t="inlineStr">
        <is>
          <t>Posting to MOCK SAP</t>
        </is>
      </c>
      <c r="D36" s="8" t="inlineStr">
        <is>
          <t>High</t>
        </is>
      </c>
      <c r="E36" s="8" t="inlineStr">
        <is>
          <t>Positive</t>
        </is>
      </c>
      <c r="F36" s="8" t="inlineStr">
        <is>
          <t>Finance Approver (bcfa.finance.approver)</t>
        </is>
      </c>
      <c r="G36" s="8" t="inlineStr">
        <is>
          <t>AP-APR-01 done.</t>
        </is>
      </c>
      <c r="H36" s="8" t="inlineStr">
        <is>
          <t>1. On INV-AP-&lt;suffix&gt; open Integration Transactions.</t>
        </is>
      </c>
      <c r="I36" s="8" t="inlineStr">
        <is>
          <t>One postVendorInvoice transaction: adapter mock_sap, idempotency key AP-POST-…, status success, SAP document MIRO…; invoice SAP Document ID set; Posting State Posted.</t>
        </is>
      </c>
      <c r="J36" s="8" t="inlineStr">
        <is>
          <t>Integration transaction</t>
        </is>
      </c>
      <c r="K36" s="8" t="inlineStr"/>
      <c r="L36" s="8" t="inlineStr">
        <is>
          <t>Not Run</t>
        </is>
      </c>
      <c r="M36" s="8" t="inlineStr"/>
      <c r="N36" s="8" t="inlineStr"/>
      <c r="O36" s="8" t="inlineStr"/>
      <c r="P36" s="8" t="inlineStr"/>
    </row>
    <row r="37">
      <c r="A37" s="9" t="inlineStr">
        <is>
          <t>AP-SAP-02</t>
        </is>
      </c>
      <c r="B37" s="9" t="inlineStr">
        <is>
          <t>AP · SAP posting</t>
        </is>
      </c>
      <c r="C37" s="9" t="inlineStr">
        <is>
          <t>Posting failure</t>
        </is>
      </c>
      <c r="D37" s="9" t="inlineStr">
        <is>
          <t>Medium</t>
        </is>
      </c>
      <c r="E37" s="9" t="inlineStr">
        <is>
          <t>Negative</t>
        </is>
      </c>
      <c r="F37" s="9" t="inlineStr">
        <is>
          <t>Admin then Finance Approver (bcfa.finance.approver)</t>
        </is>
      </c>
      <c r="G37" s="9" t="inlineStr">
        <is>
          <t>Integration Profile "Mock SAP - Default".</t>
        </is>
      </c>
      <c r="H37" s="9" t="inlineStr">
        <is>
          <t>1. Set Failure Mode = technical_error.
2. Approve a pending invoice.
3. Set Failure Mode back to success.</t>
        </is>
      </c>
      <c r="I37" s="9" t="inlineStr">
        <is>
          <t>Invoice FAILED; integration exception; journey stage 7 blocked (Integration Operator). Restore the profile.</t>
        </is>
      </c>
      <c r="J37" s="9" t="inlineStr">
        <is>
          <t>Invoice + profile restored</t>
        </is>
      </c>
      <c r="K37" s="9" t="inlineStr"/>
      <c r="L37" s="9" t="inlineStr">
        <is>
          <t>Not Run</t>
        </is>
      </c>
      <c r="M37" s="9" t="inlineStr"/>
      <c r="N37" s="9" t="inlineStr"/>
      <c r="O37" s="9" t="inlineStr"/>
      <c r="P37" s="9" t="inlineStr"/>
    </row>
    <row r="38">
      <c r="A38" s="8" t="inlineStr">
        <is>
          <t>AP-SAP-03</t>
        </is>
      </c>
      <c r="B38" s="8" t="inlineStr">
        <is>
          <t>AP · SAP posting</t>
        </is>
      </c>
      <c r="C38" s="8" t="inlineStr">
        <is>
          <t>Unknown outcome reconciled, never re-sent</t>
        </is>
      </c>
      <c r="D38" s="8" t="inlineStr">
        <is>
          <t>High</t>
        </is>
      </c>
      <c r="E38" s="8" t="inlineStr">
        <is>
          <t>Negative</t>
        </is>
      </c>
      <c r="F38" s="8" t="inlineStr">
        <is>
          <t>Admin then Finance Approver (bcfa.finance.approver)</t>
        </is>
      </c>
      <c r="G38" s="8" t="inlineStr">
        <is>
          <t>Integration Profile "Mock SAP - Default".</t>
        </is>
      </c>
      <c r="H38" s="8" t="inlineStr">
        <is>
          <t>1. Set Failure Mode = timeout.
2. Approve a fresh invoice.
3. Set Failure Mode back to success.
4. Open the invoice and its Integration Transactions.</t>
        </is>
      </c>
      <c r="I38" s="8" t="inlineStr">
        <is>
          <t>UNKNOWN_OUTCOME, then the AP Reconciliation Flow queries the status: posted (or retried once on the same transaction). Exactly one successful posting.</t>
        </is>
      </c>
      <c r="J38" s="8" t="inlineStr">
        <is>
          <t>Integration transactions</t>
        </is>
      </c>
      <c r="K38" s="8" t="inlineStr"/>
      <c r="L38" s="8" t="inlineStr">
        <is>
          <t>Not Run</t>
        </is>
      </c>
      <c r="M38" s="8" t="inlineStr"/>
      <c r="N38" s="8" t="inlineStr"/>
      <c r="O38" s="8" t="inlineStr"/>
      <c r="P38" s="8" t="inlineStr"/>
    </row>
    <row r="39">
      <c r="A39" s="9" t="inlineStr">
        <is>
          <t>AP-SAP-04</t>
        </is>
      </c>
      <c r="B39" s="9" t="inlineStr">
        <is>
          <t>AP · SAP posting</t>
        </is>
      </c>
      <c r="C39" s="9" t="inlineStr">
        <is>
          <t>Real SAP adapter not configured</t>
        </is>
      </c>
      <c r="D39" s="9" t="inlineStr">
        <is>
          <t>Low</t>
        </is>
      </c>
      <c r="E39" s="9" t="inlineStr">
        <is>
          <t>Negative</t>
        </is>
      </c>
      <c r="F39" s="9" t="inlineStr">
        <is>
          <t>Admin</t>
        </is>
      </c>
      <c r="G39" s="9" t="inlineStr">
        <is>
          <t>CP-DED ATF result.</t>
        </is>
      </c>
      <c r="H39" s="9" t="inlineStr">
        <is>
          <t>1. Review the CP-DED assertion "SAP adapter by configuration: real SAP not configured".</t>
        </is>
      </c>
      <c r="I39" s="9" t="inlineStr">
        <is>
          <t>Pass: with x_695068_bcfa.sap.adapter = real_sap nothing is sent (NOT_CONFIGURED).</t>
        </is>
      </c>
      <c r="J39" s="9" t="inlineStr">
        <is>
          <t>ATF result</t>
        </is>
      </c>
      <c r="K39" s="9" t="inlineStr"/>
      <c r="L39" s="9" t="inlineStr">
        <is>
          <t>Not Run</t>
        </is>
      </c>
      <c r="M39" s="9" t="inlineStr"/>
      <c r="N39" s="9" t="inlineStr"/>
      <c r="O39" s="9" t="inlineStr"/>
      <c r="P39" s="9" t="inlineStr"/>
    </row>
    <row r="40">
      <c r="A40" s="8" t="inlineStr">
        <is>
          <t>AP-CLS-01</t>
        </is>
      </c>
      <c r="B40" s="8" t="inlineStr">
        <is>
          <t>AP · Closure</t>
        </is>
      </c>
      <c r="C40" s="8" t="inlineStr">
        <is>
          <t>Closed invoice and audit chain</t>
        </is>
      </c>
      <c r="D40" s="8" t="inlineStr">
        <is>
          <t>High</t>
        </is>
      </c>
      <c r="E40" s="8" t="inlineStr">
        <is>
          <t>Positive</t>
        </is>
      </c>
      <c r="F40" s="8" t="inlineStr">
        <is>
          <t>Auditor</t>
        </is>
      </c>
      <c r="G40" s="8" t="inlineStr">
        <is>
          <t>AP-APR-01 done.</t>
        </is>
      </c>
      <c r="H40" s="8" t="inlineStr">
        <is>
          <t>1. Open INV-AP-&lt;suffix&gt; &gt; Audit Events.</t>
        </is>
      </c>
      <c r="I40" s="8" t="inlineStr">
        <is>
          <t>Events in order: document_uploaded, document_extracted, record_created, rule_evaluated, match, approval_requested, approval_decision, integration_call, integration_result, reconciliation, closure; each with actor and correlation ID.</t>
        </is>
      </c>
      <c r="J40" s="8" t="inlineStr">
        <is>
          <t>Audit list</t>
        </is>
      </c>
      <c r="K40" s="8" t="inlineStr"/>
      <c r="L40" s="8" t="inlineStr">
        <is>
          <t>Not Run</t>
        </is>
      </c>
      <c r="M40" s="8" t="inlineStr"/>
      <c r="N40" s="8" t="inlineStr"/>
      <c r="O40" s="8" t="inlineStr"/>
      <c r="P40" s="8" t="inlineStr"/>
    </row>
    <row r="41">
      <c r="A41" s="9" t="inlineStr">
        <is>
          <t>AP-PB-01</t>
        </is>
      </c>
      <c r="B41" s="9" t="inlineStr">
        <is>
          <t>AP · Playbook</t>
        </is>
      </c>
      <c r="C41" s="9" t="inlineStr">
        <is>
          <t>Playbook shows the journey</t>
        </is>
      </c>
      <c r="D41" s="9" t="inlineStr">
        <is>
          <t>High</t>
        </is>
      </c>
      <c r="E41" s="9" t="inlineStr">
        <is>
          <t>Positive</t>
        </is>
      </c>
      <c r="F41" s="9" t="inlineStr">
        <is>
          <t>AP Processor (bcfa.ap.processor)</t>
        </is>
      </c>
      <c r="G41" s="9" t="inlineStr">
        <is>
          <t>AP-INT-02 done.</t>
        </is>
      </c>
      <c r="H41" s="9" t="inlineStr">
        <is>
          <t>1. On INV-AP-&lt;suffix&gt; click Open Playbook.
2. Open stages 2, 3 and 4.</t>
        </is>
      </c>
      <c r="I41" s="9" t="inlineStr">
        <is>
          <t>Stage 2 shows Extraction Provider, tax breakdown and confidence; stage 3 shows tax and withholding results with rule source; stage 4 lists Tolerances applied. No activity can be completed by hand.</t>
        </is>
      </c>
      <c r="J41" s="9" t="inlineStr">
        <is>
          <t>Screenshot</t>
        </is>
      </c>
      <c r="K41" s="9" t="inlineStr"/>
      <c r="L41" s="9" t="inlineStr">
        <is>
          <t>Not Run</t>
        </is>
      </c>
      <c r="M41" s="9" t="inlineStr"/>
      <c r="N41" s="9" t="inlineStr"/>
      <c r="O41" s="9" t="inlineStr"/>
      <c r="P41" s="9" t="inlineStr"/>
    </row>
    <row r="42">
      <c r="A42" s="8" t="inlineStr">
        <is>
          <t>AR-INT-01</t>
        </is>
      </c>
      <c r="B42" s="8" t="inlineStr">
        <is>
          <t>AR · Bank line</t>
        </is>
      </c>
      <c r="C42" s="8" t="inlineStr">
        <is>
          <t>Bank line arrives before the advice</t>
        </is>
      </c>
      <c r="D42" s="8" t="inlineStr">
        <is>
          <t>High</t>
        </is>
      </c>
      <c r="E42" s="8" t="inlineStr">
        <is>
          <t>Positive</t>
        </is>
      </c>
      <c r="F42" s="8" t="inlineStr">
        <is>
          <t>AR Processor (bcfa.ar.processor)</t>
        </is>
      </c>
      <c r="G42" s="8" t="inlineStr">
        <is>
          <t>Demo pack prepared (Test Data R2).</t>
        </is>
      </c>
      <c r="H42" s="8" t="inlineStr">
        <is>
          <t>1. Cash Application &gt; Payments &gt; open NRC-PAY-26-&lt;suffix&gt;.</t>
        </is>
      </c>
      <c r="I42" s="8" t="inlineStr">
        <is>
          <t>INR 78,400, no customer; state EXCEPTION with Customer Ambiguous exception; journey stage 3 blocked: "Bank line received without a remittance".</t>
        </is>
      </c>
      <c r="J42" s="8" t="inlineStr">
        <is>
          <t>Payment</t>
        </is>
      </c>
      <c r="K42" s="8" t="inlineStr"/>
      <c r="L42" s="8" t="inlineStr">
        <is>
          <t>Not Run</t>
        </is>
      </c>
      <c r="M42" s="8" t="inlineStr"/>
      <c r="N42" s="8" t="inlineStr"/>
      <c r="O42" s="8" t="inlineStr"/>
      <c r="P42" s="8" t="inlineStr"/>
    </row>
    <row r="43">
      <c r="A43" s="9" t="inlineStr">
        <is>
          <t>AR-OCR-01</t>
        </is>
      </c>
      <c r="B43" s="9" t="inlineStr">
        <is>
          <t>AR · Advice extraction</t>
        </is>
      </c>
      <c r="C43" s="9" t="inlineStr">
        <is>
          <t>Upload the payment advice</t>
        </is>
      </c>
      <c r="D43" s="9" t="inlineStr">
        <is>
          <t>High</t>
        </is>
      </c>
      <c r="E43" s="9" t="inlineStr">
        <is>
          <t>Positive</t>
        </is>
      </c>
      <c r="F43" s="9" t="inlineStr">
        <is>
          <t>AR Processor (bcfa.ar.processor)</t>
        </is>
      </c>
      <c r="G43" s="9" t="inlineStr">
        <is>
          <t>AR-INT-01.</t>
        </is>
      </c>
      <c r="H43" s="9" t="inlineStr">
        <is>
          <t>1. Document Intake &gt; New; Document Type = AR Payment Advice (or AR Remittance); attach AR_REMIT_&lt;suffix&gt;_DEMO_NATIVE.pdf; Save; Process Document.
2. Wait about 1 minute; refresh.</t>
        </is>
      </c>
      <c r="I43" s="9" t="inlineStr">
        <is>
          <t>Intake Completed; remittance linked to NRC-PAY-26-&lt;suffix&gt;; Extraction Provider native.</t>
        </is>
      </c>
      <c r="J43" s="9" t="inlineStr">
        <is>
          <t>Intake</t>
        </is>
      </c>
      <c r="K43" s="9" t="inlineStr"/>
      <c r="L43" s="9" t="inlineStr">
        <is>
          <t>Not Run</t>
        </is>
      </c>
      <c r="M43" s="9" t="inlineStr"/>
      <c r="N43" s="9" t="inlineStr"/>
      <c r="O43" s="9" t="inlineStr"/>
      <c r="P43" s="9" t="inlineStr"/>
    </row>
    <row r="44">
      <c r="A44" s="8" t="inlineStr">
        <is>
          <t>AR-OCR-02</t>
        </is>
      </c>
      <c r="B44" s="8" t="inlineStr">
        <is>
          <t>AR · Advice extraction</t>
        </is>
      </c>
      <c r="C44" s="8" t="inlineStr">
        <is>
          <t>Advice fields as printed</t>
        </is>
      </c>
      <c r="D44" s="8" t="inlineStr">
        <is>
          <t>High</t>
        </is>
      </c>
      <c r="E44" s="8" t="inlineStr">
        <is>
          <t>Positive</t>
        </is>
      </c>
      <c r="F44" s="8" t="inlineStr">
        <is>
          <t>AR Processor (bcfa.ar.processor)</t>
        </is>
      </c>
      <c r="G44" s="8" t="inlineStr">
        <is>
          <t>AR-OCR-01.</t>
        </is>
      </c>
      <c r="H44" s="8" t="inlineStr">
        <is>
          <t>1. Open the Remittance.</t>
        </is>
      </c>
      <c r="I44" s="8" t="inlineStr">
        <is>
          <t>Payer Nilgiri Rubber Compounds Ltd, bank reference SBINR…, payment 78,400 INR, advice deduction 1,600 with reason (TDS), invoice count 2.</t>
        </is>
      </c>
      <c r="J44" s="8" t="inlineStr">
        <is>
          <t>Remittance</t>
        </is>
      </c>
      <c r="K44" s="8" t="inlineStr"/>
      <c r="L44" s="8" t="inlineStr">
        <is>
          <t>Not Run</t>
        </is>
      </c>
      <c r="M44" s="8" t="inlineStr"/>
      <c r="N44" s="8" t="inlineStr"/>
      <c r="O44" s="8" t="inlineStr"/>
      <c r="P44" s="8" t="inlineStr"/>
    </row>
    <row r="45">
      <c r="A45" s="9" t="inlineStr">
        <is>
          <t>AR-OCR-03</t>
        </is>
      </c>
      <c r="B45" s="9" t="inlineStr">
        <is>
          <t>AR · Advice extraction</t>
        </is>
      </c>
      <c r="C45" s="9" t="inlineStr">
        <is>
          <t>Advice without amount or invoices goes to review</t>
        </is>
      </c>
      <c r="D45" s="9" t="inlineStr">
        <is>
          <t>Medium</t>
        </is>
      </c>
      <c r="E45" s="9" t="inlineStr">
        <is>
          <t>Negative</t>
        </is>
      </c>
      <c r="F45" s="9" t="inlineStr">
        <is>
          <t>Admin</t>
        </is>
      </c>
      <c r="G45" s="9" t="inlineStr">
        <is>
          <t>CP-EXT ATF.</t>
        </is>
      </c>
      <c r="H45" s="9" t="inlineStr">
        <is>
          <t>1. Review the CP-EXT assertion AR-OCR-003.</t>
        </is>
      </c>
      <c r="I45" s="9" t="inlineStr">
        <is>
          <t>Pass.</t>
        </is>
      </c>
      <c r="J45" s="9" t="inlineStr">
        <is>
          <t>ATF result</t>
        </is>
      </c>
      <c r="K45" s="9" t="inlineStr"/>
      <c r="L45" s="9" t="inlineStr">
        <is>
          <t>Not Run</t>
        </is>
      </c>
      <c r="M45" s="9" t="inlineStr"/>
      <c r="N45" s="9" t="inlineStr"/>
      <c r="O45" s="9" t="inlineStr"/>
      <c r="P45" s="9" t="inlineStr"/>
    </row>
    <row r="46">
      <c r="A46" s="8" t="inlineStr">
        <is>
          <t>AR-CUS-01</t>
        </is>
      </c>
      <c r="B46" s="8" t="inlineStr">
        <is>
          <t>AR · Customer</t>
        </is>
      </c>
      <c r="C46" s="8" t="inlineStr">
        <is>
          <t>Customer resolved from the advice</t>
        </is>
      </c>
      <c r="D46" s="8" t="inlineStr">
        <is>
          <t>High</t>
        </is>
      </c>
      <c r="E46" s="8" t="inlineStr">
        <is>
          <t>Positive</t>
        </is>
      </c>
      <c r="F46" s="8" t="inlineStr">
        <is>
          <t>AR Processor (bcfa.ar.processor)</t>
        </is>
      </c>
      <c r="G46" s="8" t="inlineStr">
        <is>
          <t>AR-OCR-01.</t>
        </is>
      </c>
      <c r="H46" s="8" t="inlineStr">
        <is>
          <t>1. Refresh NRC-PAY-26-&lt;suffix&gt;.</t>
        </is>
      </c>
      <c r="I46" s="8" t="inlineStr">
        <is>
          <t>Customer = Nilgiri Rubber Compounds Ltd; the Customer Ambiguous exception is resolved.</t>
        </is>
      </c>
      <c r="J46" s="8" t="inlineStr">
        <is>
          <t>Payment</t>
        </is>
      </c>
      <c r="K46" s="8" t="inlineStr"/>
      <c r="L46" s="8" t="inlineStr">
        <is>
          <t>Not Run</t>
        </is>
      </c>
      <c r="M46" s="8" t="inlineStr"/>
      <c r="N46" s="8" t="inlineStr"/>
      <c r="O46" s="8" t="inlineStr"/>
      <c r="P46" s="8" t="inlineStr"/>
    </row>
    <row r="47">
      <c r="A47" s="9" t="inlineStr">
        <is>
          <t>AR-CUS-02</t>
        </is>
      </c>
      <c r="B47" s="9" t="inlineStr">
        <is>
          <t>AR · Customer</t>
        </is>
      </c>
      <c r="C47" s="9" t="inlineStr">
        <is>
          <t>Ambiguous customer is never guessed</t>
        </is>
      </c>
      <c r="D47" s="9" t="inlineStr">
        <is>
          <t>High</t>
        </is>
      </c>
      <c r="E47" s="9" t="inlineStr">
        <is>
          <t>Negative</t>
        </is>
      </c>
      <c r="F47" s="9" t="inlineStr">
        <is>
          <t>AR Processor (bcfa.ar.processor)</t>
        </is>
      </c>
      <c r="G47" s="9" t="inlineStr">
        <is>
          <t>Demo data reset done (Test Data sheet, step R1).</t>
        </is>
      </c>
      <c r="H47" s="9" t="inlineStr">
        <is>
          <t>1. Open BANK-PLAY-05.</t>
        </is>
      </c>
      <c r="I47" s="9" t="inlineStr">
        <is>
          <t>Exception customer_ambiguous; stage 3 blocked; AI may rank candidates, no customer is set.</t>
        </is>
      </c>
      <c r="J47" s="9" t="inlineStr">
        <is>
          <t>Payment</t>
        </is>
      </c>
      <c r="K47" s="9" t="inlineStr"/>
      <c r="L47" s="9" t="inlineStr">
        <is>
          <t>Not Run</t>
        </is>
      </c>
      <c r="M47" s="9" t="inlineStr"/>
      <c r="N47" s="9" t="inlineStr"/>
      <c r="O47" s="9" t="inlineStr"/>
      <c r="P47" s="9" t="inlineStr"/>
    </row>
    <row r="48">
      <c r="A48" s="8" t="inlineStr">
        <is>
          <t>AR-CUS-03</t>
        </is>
      </c>
      <c r="B48" s="8" t="inlineStr">
        <is>
          <t>AR · Customer</t>
        </is>
      </c>
      <c r="C48" s="8" t="inlineStr">
        <is>
          <t>Confirmed alias resolves the customer</t>
        </is>
      </c>
      <c r="D48" s="8" t="inlineStr">
        <is>
          <t>Medium</t>
        </is>
      </c>
      <c r="E48" s="8" t="inlineStr">
        <is>
          <t>Positive</t>
        </is>
      </c>
      <c r="F48" s="8" t="inlineStr">
        <is>
          <t>AR Processor (bcfa.ar.processor)</t>
        </is>
      </c>
      <c r="G48" s="8" t="inlineStr">
        <is>
          <t>Demo data reset done (Test Data sheet, step R1).</t>
        </is>
      </c>
      <c r="H48" s="8" t="inlineStr">
        <is>
          <t>1. Open BANK-AR-004.</t>
        </is>
      </c>
      <c r="I48" s="8" t="inlineStr">
        <is>
          <t>Customer resolved via the confirmed alias LONE STAR TYRE CO.</t>
        </is>
      </c>
      <c r="J48" s="8" t="inlineStr">
        <is>
          <t>Payment</t>
        </is>
      </c>
      <c r="K48" s="8" t="inlineStr"/>
      <c r="L48" s="8" t="inlineStr">
        <is>
          <t>Not Run</t>
        </is>
      </c>
      <c r="M48" s="8" t="inlineStr"/>
      <c r="N48" s="8" t="inlineStr"/>
      <c r="O48" s="8" t="inlineStr"/>
      <c r="P48" s="8" t="inlineStr"/>
    </row>
    <row r="49">
      <c r="A49" s="9" t="inlineStr">
        <is>
          <t>AR-REC-01</t>
        </is>
      </c>
      <c r="B49" s="9" t="inlineStr">
        <is>
          <t>AR · Open items</t>
        </is>
      </c>
      <c r="C49" s="9" t="inlineStr">
        <is>
          <t>Open items read through IntegrationService</t>
        </is>
      </c>
      <c r="D49" s="9" t="inlineStr">
        <is>
          <t>High</t>
        </is>
      </c>
      <c r="E49" s="9" t="inlineStr">
        <is>
          <t>Positive</t>
        </is>
      </c>
      <c r="F49" s="9" t="inlineStr">
        <is>
          <t>AR Processor (bcfa.ar.processor)</t>
        </is>
      </c>
      <c r="G49" s="9" t="inlineStr">
        <is>
          <t>AR-CUS-01.</t>
        </is>
      </c>
      <c r="H49" s="9" t="inlineStr">
        <is>
          <t>1. On NRC-PAY-26-&lt;suffix&gt; open Integration Transactions.</t>
        </is>
      </c>
      <c r="I49" s="9" t="inlineStr">
        <is>
          <t>A getOpenItems transaction, adapter mock_sap, status success, before the match.</t>
        </is>
      </c>
      <c r="J49" s="9" t="inlineStr">
        <is>
          <t>Integration transaction</t>
        </is>
      </c>
      <c r="K49" s="9" t="inlineStr"/>
      <c r="L49" s="9" t="inlineStr">
        <is>
          <t>Not Run</t>
        </is>
      </c>
      <c r="M49" s="9" t="inlineStr"/>
      <c r="N49" s="9" t="inlineStr"/>
      <c r="O49" s="9" t="inlineStr"/>
      <c r="P49" s="9" t="inlineStr"/>
    </row>
    <row r="50">
      <c r="A50" s="8" t="inlineStr">
        <is>
          <t>AR-REC-02</t>
        </is>
      </c>
      <c r="B50" s="8" t="inlineStr">
        <is>
          <t>AR · Matching</t>
        </is>
      </c>
      <c r="C50" s="8" t="inlineStr">
        <is>
          <t>Match by the advice references</t>
        </is>
      </c>
      <c r="D50" s="8" t="inlineStr">
        <is>
          <t>High</t>
        </is>
      </c>
      <c r="E50" s="8" t="inlineStr">
        <is>
          <t>Positive</t>
        </is>
      </c>
      <c r="F50" s="8" t="inlineStr">
        <is>
          <t>AR Processor (bcfa.ar.processor)</t>
        </is>
      </c>
      <c r="G50" s="8" t="inlineStr">
        <is>
          <t>AR-CUS-01.</t>
        </is>
      </c>
      <c r="H50" s="8" t="inlineStr">
        <is>
          <t>1. Open Match Candidates and Allocations of the payment.</t>
        </is>
      </c>
      <c r="I50" s="8" t="inlineStr">
        <is>
          <t>Two remittance candidates (ARINV-&lt;suffix&gt;-01, -02, confidence 1, selected); allocations 50,000 and 30,000.</t>
        </is>
      </c>
      <c r="J50" s="8" t="inlineStr">
        <is>
          <t>Related lists</t>
        </is>
      </c>
      <c r="K50" s="8" t="inlineStr"/>
      <c r="L50" s="8" t="inlineStr">
        <is>
          <t>Not Run</t>
        </is>
      </c>
      <c r="M50" s="8" t="inlineStr"/>
      <c r="N50" s="8" t="inlineStr"/>
      <c r="O50" s="8" t="inlineStr"/>
      <c r="P50" s="8" t="inlineStr"/>
    </row>
    <row r="51">
      <c r="A51" s="9" t="inlineStr">
        <is>
          <t>AR-REC-03</t>
        </is>
      </c>
      <c r="B51" s="9" t="inlineStr">
        <is>
          <t>AR · Matching</t>
        </is>
      </c>
      <c r="C51" s="9" t="inlineStr">
        <is>
          <t>Exact amount without reference</t>
        </is>
      </c>
      <c r="D51" s="9" t="inlineStr">
        <is>
          <t>Medium</t>
        </is>
      </c>
      <c r="E51" s="9" t="inlineStr">
        <is>
          <t>Positive</t>
        </is>
      </c>
      <c r="F51" s="9" t="inlineStr">
        <is>
          <t>AR Processor (bcfa.ar.processor)</t>
        </is>
      </c>
      <c r="G51" s="9" t="inlineStr">
        <is>
          <t>Admin ran scripts/deploy/phase40_e2e_bg.js (Test Data, step R3); note the run code shown, e.g. 63D87.</t>
        </is>
      </c>
      <c r="H51" s="9" t="inlineStr">
        <is>
          <t>1. Open payment E2E-&lt;run&gt;-R.</t>
        </is>
      </c>
      <c r="I51" s="9" t="inlineStr">
        <is>
          <t>Matched by exact amount; allocated to the open item; pending approval.</t>
        </is>
      </c>
      <c r="J51" s="9" t="inlineStr">
        <is>
          <t>Payment</t>
        </is>
      </c>
      <c r="K51" s="9" t="inlineStr"/>
      <c r="L51" s="9" t="inlineStr">
        <is>
          <t>Not Run</t>
        </is>
      </c>
      <c r="M51" s="9" t="inlineStr"/>
      <c r="N51" s="9" t="inlineStr"/>
      <c r="O51" s="9" t="inlineStr"/>
      <c r="P51" s="9" t="inlineStr"/>
    </row>
    <row r="52">
      <c r="A52" s="8" t="inlineStr">
        <is>
          <t>AR-REC-04</t>
        </is>
      </c>
      <c r="B52" s="8" t="inlineStr">
        <is>
          <t>AR · Matching</t>
        </is>
      </c>
      <c r="C52" s="8" t="inlineStr">
        <is>
          <t>Multi-invoice payment</t>
        </is>
      </c>
      <c r="D52" s="8" t="inlineStr">
        <is>
          <t>Medium</t>
        </is>
      </c>
      <c r="E52" s="8" t="inlineStr">
        <is>
          <t>Positive</t>
        </is>
      </c>
      <c r="F52" s="8" t="inlineStr">
        <is>
          <t>AR Processor (bcfa.ar.processor)</t>
        </is>
      </c>
      <c r="G52" s="8" t="inlineStr">
        <is>
          <t>Demo data reset done (Test Data sheet, step R1).</t>
        </is>
      </c>
      <c r="H52" s="8" t="inlineStr">
        <is>
          <t>1. Open BANK-AR-003.</t>
        </is>
      </c>
      <c r="I52" s="8" t="inlineStr">
        <is>
          <t>Allocations per open item; total equals the payment.</t>
        </is>
      </c>
      <c r="J52" s="8" t="inlineStr">
        <is>
          <t>Allocations</t>
        </is>
      </c>
      <c r="K52" s="8" t="inlineStr"/>
      <c r="L52" s="8" t="inlineStr">
        <is>
          <t>Not Run</t>
        </is>
      </c>
      <c r="M52" s="8" t="inlineStr"/>
      <c r="N52" s="8" t="inlineStr"/>
      <c r="O52" s="8" t="inlineStr"/>
      <c r="P52" s="8" t="inlineStr"/>
    </row>
    <row r="53">
      <c r="A53" s="9" t="inlineStr">
        <is>
          <t>AR-REC-05</t>
        </is>
      </c>
      <c r="B53" s="9" t="inlineStr">
        <is>
          <t>AR · Matching</t>
        </is>
      </c>
      <c r="C53" s="9" t="inlineStr">
        <is>
          <t>Ambiguous combinations go to a person</t>
        </is>
      </c>
      <c r="D53" s="9" t="inlineStr">
        <is>
          <t>Medium</t>
        </is>
      </c>
      <c r="E53" s="9" t="inlineStr">
        <is>
          <t>Negative</t>
        </is>
      </c>
      <c r="F53" s="9" t="inlineStr">
        <is>
          <t>Admin</t>
        </is>
      </c>
      <c r="G53" s="9" t="inlineStr">
        <is>
          <t>ATF "Matching — ambiguous exact combinations…".</t>
        </is>
      </c>
      <c r="H53" s="9" t="inlineStr">
        <is>
          <t>1. Review the ATF result.</t>
        </is>
      </c>
      <c r="I53" s="9" t="inlineStr">
        <is>
          <t>Pass: several exact options raise ambiguous_match; the engine never chooses.</t>
        </is>
      </c>
      <c r="J53" s="9" t="inlineStr">
        <is>
          <t>ATF result</t>
        </is>
      </c>
      <c r="K53" s="9" t="inlineStr"/>
      <c r="L53" s="9" t="inlineStr">
        <is>
          <t>Not Run</t>
        </is>
      </c>
      <c r="M53" s="9" t="inlineStr"/>
      <c r="N53" s="9" t="inlineStr"/>
      <c r="O53" s="9" t="inlineStr"/>
      <c r="P53" s="9" t="inlineStr"/>
    </row>
    <row r="54">
      <c r="A54" s="8" t="inlineStr">
        <is>
          <t>AR-DED-01</t>
        </is>
      </c>
      <c r="B54" s="8" t="inlineStr">
        <is>
          <t>AR · Deductions</t>
        </is>
      </c>
      <c r="C54" s="8" t="inlineStr">
        <is>
          <t>Withholding (TDS) suggested from the advice</t>
        </is>
      </c>
      <c r="D54" s="8" t="inlineStr">
        <is>
          <t>High</t>
        </is>
      </c>
      <c r="E54" s="8" t="inlineStr">
        <is>
          <t>Positive</t>
        </is>
      </c>
      <c r="F54" s="8" t="inlineStr">
        <is>
          <t>AR Processor (bcfa.ar.processor)</t>
        </is>
      </c>
      <c r="G54" s="8" t="inlineStr">
        <is>
          <t>AR-REC-02.</t>
        </is>
      </c>
      <c r="H54" s="8" t="inlineStr">
        <is>
          <t>1. Open the payment's Short Pay exception.</t>
        </is>
      </c>
      <c r="I54" s="8" t="inlineStr">
        <is>
          <t>Residual −1,600; rule result "Rule suggestion: WITHHOLDING_TAX - residual 1600 is within the withholding limit … (the advice states: … TDS @2%)".</t>
        </is>
      </c>
      <c r="J54" s="8" t="inlineStr">
        <is>
          <t>Exception</t>
        </is>
      </c>
      <c r="K54" s="8" t="inlineStr"/>
      <c r="L54" s="8" t="inlineStr">
        <is>
          <t>Not Run</t>
        </is>
      </c>
      <c r="M54" s="8" t="inlineStr"/>
      <c r="N54" s="8" t="inlineStr"/>
      <c r="O54" s="8" t="inlineStr"/>
      <c r="P54" s="8" t="inlineStr"/>
    </row>
    <row r="55">
      <c r="A55" s="9" t="inlineStr">
        <is>
          <t>AR-DED-02</t>
        </is>
      </c>
      <c r="B55" s="9" t="inlineStr">
        <is>
          <t>AR · Deductions</t>
        </is>
      </c>
      <c r="C55" s="9" t="inlineStr">
        <is>
          <t>Person confirms the withholding deduction</t>
        </is>
      </c>
      <c r="D55" s="9" t="inlineStr">
        <is>
          <t>High</t>
        </is>
      </c>
      <c r="E55" s="9" t="inlineStr">
        <is>
          <t>Positive</t>
        </is>
      </c>
      <c r="F55" s="9" t="inlineStr">
        <is>
          <t>AR Processor (bcfa.ar.processor)</t>
        </is>
      </c>
      <c r="G55" s="9" t="inlineStr">
        <is>
          <t>AR-DED-01.</t>
        </is>
      </c>
      <c r="H55" s="9" t="inlineStr">
        <is>
          <t>1. On the exception set Deduction Type = Withholding Tax and Decision Reason "TDS 2 % certificate to follow", Update.
2. Click Approve Deduction.</t>
        </is>
      </c>
      <c r="I55" s="9" t="inlineStr">
        <is>
          <t>Message "Deduction withholding_tax 1600 approved. Payment state: PENDING_APPROVAL …"; Deduction row: amount 1,600, advice reason, category source human_confirmed.</t>
        </is>
      </c>
      <c r="J55" s="9" t="inlineStr">
        <is>
          <t>Deduction</t>
        </is>
      </c>
      <c r="K55" s="9" t="inlineStr"/>
      <c r="L55" s="9" t="inlineStr">
        <is>
          <t>Not Run</t>
        </is>
      </c>
      <c r="M55" s="9" t="inlineStr"/>
      <c r="N55" s="9" t="inlineStr"/>
      <c r="O55" s="9" t="inlineStr"/>
      <c r="P55" s="9" t="inlineStr"/>
    </row>
    <row r="56">
      <c r="A56" s="8" t="inlineStr">
        <is>
          <t>AR-DED-03</t>
        </is>
      </c>
      <c r="B56" s="8" t="inlineStr">
        <is>
          <t>AR · Deductions</t>
        </is>
      </c>
      <c r="C56" s="8" t="inlineStr">
        <is>
          <t>Bank charge within limit</t>
        </is>
      </c>
      <c r="D56" s="8" t="inlineStr">
        <is>
          <t>Medium</t>
        </is>
      </c>
      <c r="E56" s="8" t="inlineStr">
        <is>
          <t>Positive</t>
        </is>
      </c>
      <c r="F56" s="8" t="inlineStr">
        <is>
          <t>AR Processor (bcfa.ar.processor)</t>
        </is>
      </c>
      <c r="G56" s="8" t="inlineStr">
        <is>
          <t>Demo data reset done (Test Data sheet, step R1).</t>
        </is>
      </c>
      <c r="H56" s="8" t="inlineStr">
        <is>
          <t>1. Open the Short Pay exception of BANK-PLAY-04 (short by 500 EUR).
2. Deduction Type = Bank Charge; Decision Reason "correspondent bank charges confirmed"; Update; Approve Deduction.</t>
        </is>
      </c>
      <c r="I56" s="8" t="inlineStr">
        <is>
          <t>Accepted (≤ 1,000, no finance approver needed); deduction recorded; payment proceeds to approval.</t>
        </is>
      </c>
      <c r="J56" s="8" t="inlineStr">
        <is>
          <t>Deduction</t>
        </is>
      </c>
      <c r="K56" s="8" t="inlineStr"/>
      <c r="L56" s="8" t="inlineStr">
        <is>
          <t>Not Run</t>
        </is>
      </c>
      <c r="M56" s="8" t="inlineStr"/>
      <c r="N56" s="8" t="inlineStr"/>
      <c r="O56" s="8" t="inlineStr"/>
      <c r="P56" s="8" t="inlineStr"/>
    </row>
    <row r="57">
      <c r="A57" s="9" t="inlineStr">
        <is>
          <t>AR-DED-04</t>
        </is>
      </c>
      <c r="B57" s="9" t="inlineStr">
        <is>
          <t>AR · Deductions</t>
        </is>
      </c>
      <c r="C57" s="9" t="inlineStr">
        <is>
          <t>Bank charge above the limit refused</t>
        </is>
      </c>
      <c r="D57" s="9" t="inlineStr">
        <is>
          <t>High</t>
        </is>
      </c>
      <c r="E57" s="9" t="inlineStr">
        <is>
          <t>Negative</t>
        </is>
      </c>
      <c r="F57" s="9" t="inlineStr">
        <is>
          <t>AR Processor (bcfa.ar.processor)</t>
        </is>
      </c>
      <c r="G57" s="9" t="inlineStr">
        <is>
          <t>Demo data reset done (Test Data sheet, step R1).</t>
        </is>
      </c>
      <c r="H57" s="9" t="inlineStr">
        <is>
          <t>1. Open the Short Pay exception of BANK-AR-002 (residual 3,500).
2. Deduction Type = Bank Charge; Decision Reason; Update; Approve Deduction.</t>
        </is>
      </c>
      <c r="I57" s="9" t="inlineStr">
        <is>
          <t>Refused (ar.bank_charge.max_amount 1,000); nothing recorded; exception stays open.</t>
        </is>
      </c>
      <c r="J57" s="9" t="inlineStr">
        <is>
          <t>Error message</t>
        </is>
      </c>
      <c r="K57" s="9" t="inlineStr"/>
      <c r="L57" s="9" t="inlineStr">
        <is>
          <t>Not Run</t>
        </is>
      </c>
      <c r="M57" s="9" t="inlineStr"/>
      <c r="N57" s="9" t="inlineStr"/>
      <c r="O57" s="9" t="inlineStr"/>
      <c r="P57" s="9" t="inlineStr"/>
    </row>
    <row r="58">
      <c r="A58" s="8" t="inlineStr">
        <is>
          <t>AR-DED-05</t>
        </is>
      </c>
      <c r="B58" s="8" t="inlineStr">
        <is>
          <t>AR · Deductions</t>
        </is>
      </c>
      <c r="C58" s="8" t="inlineStr">
        <is>
          <t>Dispute is never a deduction</t>
        </is>
      </c>
      <c r="D58" s="8" t="inlineStr">
        <is>
          <t>High</t>
        </is>
      </c>
      <c r="E58" s="8" t="inlineStr">
        <is>
          <t>Negative</t>
        </is>
      </c>
      <c r="F58" s="8" t="inlineStr">
        <is>
          <t>AR Processor (bcfa.ar.processor)</t>
        </is>
      </c>
      <c r="G58" s="8" t="inlineStr">
        <is>
          <t>Demo data reset done (Test Data sheet, step R1).</t>
        </is>
      </c>
      <c r="H58" s="8" t="inlineStr">
        <is>
          <t>1. Same exception as AR-DED-04 (BANK-AR-002).
2. Deduction Type = Dispute (not a deduction); Decision Reason; Update; Approve Deduction.</t>
        </is>
      </c>
      <c r="I58" s="8" t="inlineStr">
        <is>
          <t>Refused: a dispute is not a deduction; the exception stays open for investigation.</t>
        </is>
      </c>
      <c r="J58" s="8" t="inlineStr">
        <is>
          <t>Error message</t>
        </is>
      </c>
      <c r="K58" s="8" t="inlineStr"/>
      <c r="L58" s="8" t="inlineStr">
        <is>
          <t>Not Run</t>
        </is>
      </c>
      <c r="M58" s="8" t="inlineStr"/>
      <c r="N58" s="8" t="inlineStr"/>
      <c r="O58" s="8" t="inlineStr"/>
      <c r="P58" s="8" t="inlineStr"/>
    </row>
    <row r="59">
      <c r="A59" s="9" t="inlineStr">
        <is>
          <t>AR-DED-06</t>
        </is>
      </c>
      <c r="B59" s="9" t="inlineStr">
        <is>
          <t>AR · Deductions</t>
        </is>
      </c>
      <c r="C59" s="9" t="inlineStr">
        <is>
          <t>AI suggestion does not decide</t>
        </is>
      </c>
      <c r="D59" s="9" t="inlineStr">
        <is>
          <t>High</t>
        </is>
      </c>
      <c r="E59" s="9" t="inlineStr">
        <is>
          <t>Negative</t>
        </is>
      </c>
      <c r="F59" s="9" t="inlineStr">
        <is>
          <t>AR Processor (bcfa.ar.processor)</t>
        </is>
      </c>
      <c r="G59" s="9" t="inlineStr">
        <is>
          <t>Admin ran scripts/deploy/phase40_e2e_bg.js (Test Data, step R3); note the run code shown, e.g. 63D87.</t>
        </is>
      </c>
      <c r="H59" s="9" t="inlineStr">
        <is>
          <t>1. Open E2E-&lt;run&gt;-U: AI note and decision.</t>
        </is>
      </c>
      <c r="I59" s="9" t="inlineStr">
        <is>
          <t>AI note left as written (advisory); a person decided (clarification requested); nothing booked from the AI note.</t>
        </is>
      </c>
      <c r="J59" s="9" t="inlineStr">
        <is>
          <t>Exception</t>
        </is>
      </c>
      <c r="K59" s="9" t="inlineStr"/>
      <c r="L59" s="9" t="inlineStr">
        <is>
          <t>Not Run</t>
        </is>
      </c>
      <c r="M59" s="9" t="inlineStr"/>
      <c r="N59" s="9" t="inlineStr"/>
      <c r="O59" s="9" t="inlineStr"/>
      <c r="P59" s="9" t="inlineStr"/>
    </row>
    <row r="60">
      <c r="A60" s="8" t="inlineStr">
        <is>
          <t>AR-APR-01</t>
        </is>
      </c>
      <c r="B60" s="8" t="inlineStr">
        <is>
          <t>AR · Approval</t>
        </is>
      </c>
      <c r="C60" s="8" t="inlineStr">
        <is>
          <t>Approve the payment</t>
        </is>
      </c>
      <c r="D60" s="8" t="inlineStr">
        <is>
          <t>High</t>
        </is>
      </c>
      <c r="E60" s="8" t="inlineStr">
        <is>
          <t>Positive</t>
        </is>
      </c>
      <c r="F60" s="8" t="inlineStr">
        <is>
          <t>Finance Approver (bcfa.finance.approver)</t>
        </is>
      </c>
      <c r="G60" s="8" t="inlineStr">
        <is>
          <t>AR-DED-02 done.</t>
        </is>
      </c>
      <c r="H60" s="8" t="inlineStr">
        <is>
          <t>1. Cash Application &gt; Approvals &gt; approval for NRC-PAY-26-&lt;suffix&gt;; Approve.
2. Wait a few seconds; open the payment.</t>
        </is>
      </c>
      <c r="I60" s="8" t="inlineStr">
        <is>
          <t>DIRECT mode: CLEARING -&gt; CLEARED -&gt; CLOSED; clearCustomerPayment transaction success with FB05… document; ARINV-&lt;suffix&gt;-01/02 settled (open amount 0).</t>
        </is>
      </c>
      <c r="J60" s="8" t="inlineStr">
        <is>
          <t>Payment + transaction</t>
        </is>
      </c>
      <c r="K60" s="8" t="inlineStr"/>
      <c r="L60" s="8" t="inlineStr">
        <is>
          <t>Not Run</t>
        </is>
      </c>
      <c r="M60" s="8" t="inlineStr"/>
      <c r="N60" s="8" t="inlineStr"/>
      <c r="O60" s="8" t="inlineStr"/>
      <c r="P60" s="8" t="inlineStr"/>
    </row>
    <row r="61">
      <c r="A61" s="9" t="inlineStr">
        <is>
          <t>AR-APR-02</t>
        </is>
      </c>
      <c r="B61" s="9" t="inlineStr">
        <is>
          <t>AR · Approval</t>
        </is>
      </c>
      <c r="C61" s="9" t="inlineStr">
        <is>
          <t>AR processor cannot approve</t>
        </is>
      </c>
      <c r="D61" s="9" t="inlineStr">
        <is>
          <t>High</t>
        </is>
      </c>
      <c r="E61" s="9" t="inlineStr">
        <is>
          <t>Negative</t>
        </is>
      </c>
      <c r="F61" s="9" t="inlineStr">
        <is>
          <t>AR Processor (bcfa.ar.processor)</t>
        </is>
      </c>
      <c r="G61" s="9" t="inlineStr">
        <is>
          <t>A pending AR approval.</t>
        </is>
      </c>
      <c r="H61" s="9" t="inlineStr">
        <is>
          <t>1. Open it.</t>
        </is>
      </c>
      <c r="I61" s="9" t="inlineStr">
        <is>
          <t>Approve / Reject not available (role ar_approver required).</t>
        </is>
      </c>
      <c r="J61" s="9" t="inlineStr">
        <is>
          <t>Screenshot</t>
        </is>
      </c>
      <c r="K61" s="9" t="inlineStr"/>
      <c r="L61" s="9" t="inlineStr">
        <is>
          <t>Not Run</t>
        </is>
      </c>
      <c r="M61" s="9" t="inlineStr"/>
      <c r="N61" s="9" t="inlineStr"/>
      <c r="O61" s="9" t="inlineStr"/>
      <c r="P61" s="9" t="inlineStr"/>
    </row>
    <row r="62">
      <c r="A62" s="8" t="inlineStr">
        <is>
          <t>AR-SAP-01</t>
        </is>
      </c>
      <c r="B62" s="8" t="inlineStr">
        <is>
          <t>AR · SAP clearing</t>
        </is>
      </c>
      <c r="C62" s="8" t="inlineStr">
        <is>
          <t>DRAFT mode parks the clearing</t>
        </is>
      </c>
      <c r="D62" s="8" t="inlineStr">
        <is>
          <t>Medium</t>
        </is>
      </c>
      <c r="E62" s="8" t="inlineStr">
        <is>
          <t>Positive</t>
        </is>
      </c>
      <c r="F62" s="8" t="inlineStr">
        <is>
          <t>Admin, Finance Approver (bcfa.finance.approver)</t>
        </is>
      </c>
      <c r="G62" s="8" t="inlineStr">
        <is>
          <t>Property x_695068_bcfa.ar.sap_processing_mode = draft; x_695068_bcfa.mock_sap.draft_outcome = pending.</t>
        </is>
      </c>
      <c r="H62" s="8" t="inlineStr">
        <is>
          <t>1. Approve a pending payment.
2. Open it; click Check SAP Draft Status.
3. Set draft_outcome = posted; click Check SAP Draft Status.
4. Set both properties back (direct / pending).</t>
        </is>
      </c>
      <c r="I62" s="8" t="inlineStr">
        <is>
          <t>Step 1: SAP_DRAFT, PARK… document, open items unchanged. Step 2: still waiting, nothing re-sent. Step 3: CLEARED -&gt; CLOSED; one clearing transaction.</t>
        </is>
      </c>
      <c r="J62" s="8" t="inlineStr">
        <is>
          <t>Payment</t>
        </is>
      </c>
      <c r="K62" s="8" t="inlineStr"/>
      <c r="L62" s="8" t="inlineStr">
        <is>
          <t>Not Run</t>
        </is>
      </c>
      <c r="M62" s="8" t="inlineStr"/>
      <c r="N62" s="8" t="inlineStr"/>
      <c r="O62" s="8" t="inlineStr"/>
      <c r="P62" s="8" t="inlineStr"/>
    </row>
    <row r="63">
      <c r="A63" s="9" t="inlineStr">
        <is>
          <t>AR-SAP-02</t>
        </is>
      </c>
      <c r="B63" s="9" t="inlineStr">
        <is>
          <t>AR · SAP clearing</t>
        </is>
      </c>
      <c r="C63" s="9" t="inlineStr">
        <is>
          <t>Draft rejected by SAP</t>
        </is>
      </c>
      <c r="D63" s="9" t="inlineStr">
        <is>
          <t>Low</t>
        </is>
      </c>
      <c r="E63" s="9" t="inlineStr">
        <is>
          <t>Negative</t>
        </is>
      </c>
      <c r="F63" s="9" t="inlineStr">
        <is>
          <t>Admin</t>
        </is>
      </c>
      <c r="G63" s="9" t="inlineStr">
        <is>
          <t>As AR-SAP-01 with draft_outcome = rejected.</t>
        </is>
      </c>
      <c r="H63" s="9" t="inlineStr">
        <is>
          <t>1. Check SAP Draft Status on a SAP_DRAFT payment.</t>
        </is>
      </c>
      <c r="I63" s="9" t="inlineStr">
        <is>
          <t>FAILED; exception "SAP rejected the draft".</t>
        </is>
      </c>
      <c r="J63" s="9" t="inlineStr">
        <is>
          <t>Payment</t>
        </is>
      </c>
      <c r="K63" s="9" t="inlineStr"/>
      <c r="L63" s="9" t="inlineStr">
        <is>
          <t>Not Run</t>
        </is>
      </c>
      <c r="M63" s="9" t="inlineStr"/>
      <c r="N63" s="9" t="inlineStr"/>
      <c r="O63" s="9" t="inlineStr"/>
      <c r="P63" s="9" t="inlineStr"/>
    </row>
    <row r="64">
      <c r="A64" s="8" t="inlineStr">
        <is>
          <t>AR-SAP-03</t>
        </is>
      </c>
      <c r="B64" s="8" t="inlineStr">
        <is>
          <t>AR · SAP clearing</t>
        </is>
      </c>
      <c r="C64" s="8" t="inlineStr">
        <is>
          <t>Clearing unknown outcome</t>
        </is>
      </c>
      <c r="D64" s="8" t="inlineStr">
        <is>
          <t>Medium</t>
        </is>
      </c>
      <c r="E64" s="8" t="inlineStr">
        <is>
          <t>Negative</t>
        </is>
      </c>
      <c r="F64" s="8" t="inlineStr">
        <is>
          <t>Admin</t>
        </is>
      </c>
      <c r="G64" s="8" t="inlineStr">
        <is>
          <t>Mock SAP failure mode timeout.</t>
        </is>
      </c>
      <c r="H64" s="8" t="inlineStr">
        <is>
          <t>As AP-SAP-03 for a payment.</t>
        </is>
      </c>
      <c r="I64" s="8" t="inlineStr">
        <is>
          <t>UNKNOWN_OUTCOME; AR Reconciliation Flow resolves it; one clearing only.</t>
        </is>
      </c>
      <c r="J64" s="8" t="inlineStr">
        <is>
          <t>Integration transactions</t>
        </is>
      </c>
      <c r="K64" s="8" t="inlineStr"/>
      <c r="L64" s="8" t="inlineStr">
        <is>
          <t>Not Run</t>
        </is>
      </c>
      <c r="M64" s="8" t="inlineStr"/>
      <c r="N64" s="8" t="inlineStr"/>
      <c r="O64" s="8" t="inlineStr"/>
      <c r="P64" s="8" t="inlineStr"/>
    </row>
    <row r="65">
      <c r="A65" s="9" t="inlineStr">
        <is>
          <t>AR-PB-01</t>
        </is>
      </c>
      <c r="B65" s="9" t="inlineStr">
        <is>
          <t>AR · Playbook</t>
        </is>
      </c>
      <c r="C65" s="9" t="inlineStr">
        <is>
          <t>Cash Application Playbook</t>
        </is>
      </c>
      <c r="D65" s="9" t="inlineStr">
        <is>
          <t>High</t>
        </is>
      </c>
      <c r="E65" s="9" t="inlineStr">
        <is>
          <t>Positive</t>
        </is>
      </c>
      <c r="F65" s="9" t="inlineStr">
        <is>
          <t>AR Processor (bcfa.ar.processor)</t>
        </is>
      </c>
      <c r="G65" s="9" t="inlineStr">
        <is>
          <t>AR-OCR-01 done.</t>
        </is>
      </c>
      <c r="H65" s="9" t="inlineStr">
        <is>
          <t>1. On the payment click Open Playbook; open stages 2 and 6.</t>
        </is>
      </c>
      <c r="I65" s="9" t="inlineStr">
        <is>
          <t>Stage 2 lists the payment advice as extracted (provider shown); stage 6 lists the exception and the deduction with the printed reason.</t>
        </is>
      </c>
      <c r="J65" s="9" t="inlineStr">
        <is>
          <t>Screenshot</t>
        </is>
      </c>
      <c r="K65" s="9" t="inlineStr"/>
      <c r="L65" s="9" t="inlineStr">
        <is>
          <t>Not Run</t>
        </is>
      </c>
      <c r="M65" s="9" t="inlineStr"/>
      <c r="N65" s="9" t="inlineStr"/>
      <c r="O65" s="9" t="inlineStr"/>
      <c r="P65" s="9" t="inlineStr"/>
    </row>
    <row r="66">
      <c r="A66" s="8" t="inlineStr">
        <is>
          <t>AR-CLS-01</t>
        </is>
      </c>
      <c r="B66" s="8" t="inlineStr">
        <is>
          <t>AR · Closure</t>
        </is>
      </c>
      <c r="C66" s="8" t="inlineStr">
        <is>
          <t>Audit chain of the payment</t>
        </is>
      </c>
      <c r="D66" s="8" t="inlineStr">
        <is>
          <t>Medium</t>
        </is>
      </c>
      <c r="E66" s="8" t="inlineStr">
        <is>
          <t>Positive</t>
        </is>
      </c>
      <c r="F66" s="8" t="inlineStr">
        <is>
          <t>Auditor</t>
        </is>
      </c>
      <c r="G66" s="8" t="inlineStr">
        <is>
          <t>AR-APR-01 done.</t>
        </is>
      </c>
      <c r="H66" s="8" t="inlineStr">
        <is>
          <t>1. Open the payment &gt; Audit Events.</t>
        </is>
      </c>
      <c r="I66" s="8" t="inlineStr">
        <is>
          <t>record_created, rule_evaluated, document events, match, allocation, exception_created, deduction, approval_*, integration_call (getOpenItems, clearCustomerPayment), integration_result, closure.</t>
        </is>
      </c>
      <c r="J66" s="8" t="inlineStr">
        <is>
          <t>Audit list</t>
        </is>
      </c>
      <c r="K66" s="8" t="inlineStr"/>
      <c r="L66" s="8" t="inlineStr">
        <is>
          <t>Not Run</t>
        </is>
      </c>
      <c r="M66" s="8" t="inlineStr"/>
      <c r="N66" s="8" t="inlineStr"/>
      <c r="O66" s="8" t="inlineStr"/>
      <c r="P66" s="8" t="inlineStr"/>
    </row>
    <row r="67">
      <c r="A67" s="9" t="inlineStr">
        <is>
          <t>AI-01</t>
        </is>
      </c>
      <c r="B67" s="9" t="inlineStr">
        <is>
          <t>AI governance</t>
        </is>
      </c>
      <c r="C67" s="9" t="inlineStr">
        <is>
          <t>Prompt injection in a document is blocked</t>
        </is>
      </c>
      <c r="D67" s="9" t="inlineStr">
        <is>
          <t>High</t>
        </is>
      </c>
      <c r="E67" s="9" t="inlineStr">
        <is>
          <t>Negative</t>
        </is>
      </c>
      <c r="F67" s="9" t="inlineStr">
        <is>
          <t>Admin</t>
        </is>
      </c>
      <c r="G67" s="9" t="inlineStr">
        <is>
          <t>ATF "AI guardrails — injection screening…".</t>
        </is>
      </c>
      <c r="H67" s="9" t="inlineStr">
        <is>
          <t>1. Review the ATF result.</t>
        </is>
      </c>
      <c r="I67" s="9" t="inlineStr">
        <is>
          <t>Pass: the call is not made; AI Interaction Log status refused / Blocked (not sent).</t>
        </is>
      </c>
      <c r="J67" s="9" t="inlineStr">
        <is>
          <t>ATF result</t>
        </is>
      </c>
      <c r="K67" s="9" t="inlineStr"/>
      <c r="L67" s="9" t="inlineStr">
        <is>
          <t>Not Run</t>
        </is>
      </c>
      <c r="M67" s="9" t="inlineStr"/>
      <c r="N67" s="9" t="inlineStr"/>
      <c r="O67" s="9" t="inlineStr"/>
      <c r="P67" s="9" t="inlineStr"/>
    </row>
    <row r="68">
      <c r="A68" s="8" t="inlineStr">
        <is>
          <t>AI-02</t>
        </is>
      </c>
      <c r="B68" s="8" t="inlineStr">
        <is>
          <t>AI governance</t>
        </is>
      </c>
      <c r="C68" s="8" t="inlineStr">
        <is>
          <t>AI identity can never approve</t>
        </is>
      </c>
      <c r="D68" s="8" t="inlineStr">
        <is>
          <t>High</t>
        </is>
      </c>
      <c r="E68" s="8" t="inlineStr">
        <is>
          <t>Negative</t>
        </is>
      </c>
      <c r="F68" s="8" t="inlineStr">
        <is>
          <t>Admin</t>
        </is>
      </c>
      <c r="G68" s="8" t="inlineStr">
        <is>
          <t>ATF "AI identity — least privilege…".</t>
        </is>
      </c>
      <c r="H68" s="8" t="inlineStr">
        <is>
          <t>1. Review the ATF result.</t>
        </is>
      </c>
      <c r="I68" s="8" t="inlineStr">
        <is>
          <t>Pass.</t>
        </is>
      </c>
      <c r="J68" s="8" t="inlineStr">
        <is>
          <t>ATF result</t>
        </is>
      </c>
      <c r="K68" s="8" t="inlineStr"/>
      <c r="L68" s="8" t="inlineStr">
        <is>
          <t>Not Run</t>
        </is>
      </c>
      <c r="M68" s="8" t="inlineStr"/>
      <c r="N68" s="8" t="inlineStr"/>
      <c r="O68" s="8" t="inlineStr"/>
      <c r="P68" s="8" t="inlineStr"/>
    </row>
    <row r="69">
      <c r="A69" s="9" t="inlineStr">
        <is>
          <t>AI-03</t>
        </is>
      </c>
      <c r="B69" s="9" t="inlineStr">
        <is>
          <t>AI governance</t>
        </is>
      </c>
      <c r="C69" s="9" t="inlineStr">
        <is>
          <t>AI Interaction Log</t>
        </is>
      </c>
      <c r="D69" s="9" t="inlineStr">
        <is>
          <t>Medium</t>
        </is>
      </c>
      <c r="E69" s="9" t="inlineStr">
        <is>
          <t>Positive</t>
        </is>
      </c>
      <c r="F69" s="9" t="inlineStr">
        <is>
          <t>Auditor</t>
        </is>
      </c>
      <c r="G69" s="9" t="inlineStr">
        <is>
          <t>Some AI runs.</t>
        </is>
      </c>
      <c r="H69" s="9" t="inlineStr">
        <is>
          <t>1. AI &amp; Audit &gt; AI Interaction Log.</t>
        </is>
      </c>
      <c r="I69" s="9" t="inlineStr">
        <is>
          <t>Each run: capability, skill, recommendation, confidence, guardrail action, human decision; no prompts stored.</t>
        </is>
      </c>
      <c r="J69" s="9" t="inlineStr">
        <is>
          <t>List</t>
        </is>
      </c>
      <c r="K69" s="9" t="inlineStr"/>
      <c r="L69" s="9" t="inlineStr">
        <is>
          <t>Not Run</t>
        </is>
      </c>
      <c r="M69" s="9" t="inlineStr"/>
      <c r="N69" s="9" t="inlineStr"/>
      <c r="O69" s="9" t="inlineStr"/>
      <c r="P69" s="9" t="inlineStr"/>
    </row>
    <row r="70">
      <c r="A70" s="8" t="inlineStr">
        <is>
          <t>SEC-01</t>
        </is>
      </c>
      <c r="B70" s="8" t="inlineStr">
        <is>
          <t>Security</t>
        </is>
      </c>
      <c r="C70" s="8" t="inlineStr">
        <is>
          <t>Finance approver cannot edit invoice amounts</t>
        </is>
      </c>
      <c r="D70" s="8" t="inlineStr">
        <is>
          <t>High</t>
        </is>
      </c>
      <c r="E70" s="8" t="inlineStr">
        <is>
          <t>Negative</t>
        </is>
      </c>
      <c r="F70" s="8" t="inlineStr">
        <is>
          <t>Finance Approver (bcfa.finance.approver)</t>
        </is>
      </c>
      <c r="G70" s="8" t="inlineStr">
        <is>
          <t>—</t>
        </is>
      </c>
      <c r="H70" s="8" t="inlineStr">
        <is>
          <t>1. Open an invoice; try to change Gross Amount.</t>
        </is>
      </c>
      <c r="I70" s="8" t="inlineStr">
        <is>
          <t>Read-only / write refused.</t>
        </is>
      </c>
      <c r="J70" s="8" t="inlineStr">
        <is>
          <t>Screenshot</t>
        </is>
      </c>
      <c r="K70" s="8" t="inlineStr"/>
      <c r="L70" s="8" t="inlineStr">
        <is>
          <t>Not Run</t>
        </is>
      </c>
      <c r="M70" s="8" t="inlineStr"/>
      <c r="N70" s="8" t="inlineStr"/>
      <c r="O70" s="8" t="inlineStr"/>
      <c r="P70" s="8" t="inlineStr"/>
    </row>
    <row r="71">
      <c r="A71" s="9" t="inlineStr">
        <is>
          <t>SEC-02</t>
        </is>
      </c>
      <c r="B71" s="9" t="inlineStr">
        <is>
          <t>Security</t>
        </is>
      </c>
      <c r="C71" s="9" t="inlineStr">
        <is>
          <t>Auditor is read-only</t>
        </is>
      </c>
      <c r="D71" s="9" t="inlineStr">
        <is>
          <t>High</t>
        </is>
      </c>
      <c r="E71" s="9" t="inlineStr">
        <is>
          <t>Negative</t>
        </is>
      </c>
      <c r="F71" s="9" t="inlineStr">
        <is>
          <t>Auditor</t>
        </is>
      </c>
      <c r="G71" s="9" t="inlineStr">
        <is>
          <t>—</t>
        </is>
      </c>
      <c r="H71" s="9" t="inlineStr">
        <is>
          <t>1. Open invoices, payments, exceptions, audit events.</t>
        </is>
      </c>
      <c r="I71" s="9" t="inlineStr">
        <is>
          <t>Can read; cannot change; Playbook view only.</t>
        </is>
      </c>
      <c r="J71" s="9" t="inlineStr">
        <is>
          <t>Screenshot</t>
        </is>
      </c>
      <c r="K71" s="9" t="inlineStr"/>
      <c r="L71" s="9" t="inlineStr">
        <is>
          <t>Not Run</t>
        </is>
      </c>
      <c r="M71" s="9" t="inlineStr"/>
      <c r="N71" s="9" t="inlineStr"/>
      <c r="O71" s="9" t="inlineStr"/>
      <c r="P71" s="9" t="inlineStr"/>
    </row>
    <row r="72">
      <c r="A72" s="8" t="inlineStr">
        <is>
          <t>SEC-03</t>
        </is>
      </c>
      <c r="B72" s="8" t="inlineStr">
        <is>
          <t>Security</t>
        </is>
      </c>
      <c r="C72" s="8" t="inlineStr">
        <is>
          <t>Audit events cannot be changed or deleted</t>
        </is>
      </c>
      <c r="D72" s="8" t="inlineStr">
        <is>
          <t>High</t>
        </is>
      </c>
      <c r="E72" s="8" t="inlineStr">
        <is>
          <t>Negative</t>
        </is>
      </c>
      <c r="F72" s="8" t="inlineStr">
        <is>
          <t>Admin</t>
        </is>
      </c>
      <c r="G72" s="8" t="inlineStr">
        <is>
          <t>—</t>
        </is>
      </c>
      <c r="H72" s="8" t="inlineStr">
        <is>
          <t>1. Try to edit or delete an Audit Event.</t>
        </is>
      </c>
      <c r="I72" s="8" t="inlineStr">
        <is>
          <t>Refused by the append-only rule.</t>
        </is>
      </c>
      <c r="J72" s="8" t="inlineStr">
        <is>
          <t>Error message</t>
        </is>
      </c>
      <c r="K72" s="8" t="inlineStr"/>
      <c r="L72" s="8" t="inlineStr">
        <is>
          <t>Not Run</t>
        </is>
      </c>
      <c r="M72" s="8" t="inlineStr"/>
      <c r="N72" s="8" t="inlineStr"/>
      <c r="O72" s="8" t="inlineStr"/>
      <c r="P72" s="8" t="inlineStr"/>
    </row>
    <row r="73">
      <c r="A73" s="9" t="inlineStr">
        <is>
          <t>SEC-04</t>
        </is>
      </c>
      <c r="B73" s="9" t="inlineStr">
        <is>
          <t>Security</t>
        </is>
      </c>
      <c r="C73" s="9" t="inlineStr">
        <is>
          <t>State cannot be set by hand</t>
        </is>
      </c>
      <c r="D73" s="9" t="inlineStr">
        <is>
          <t>Medium</t>
        </is>
      </c>
      <c r="E73" s="9" t="inlineStr">
        <is>
          <t>Negative</t>
        </is>
      </c>
      <c r="F73" s="9" t="inlineStr">
        <is>
          <t>Admin</t>
        </is>
      </c>
      <c r="G73" s="9" t="inlineStr">
        <is>
          <t>—</t>
        </is>
      </c>
      <c r="H73" s="9" t="inlineStr">
        <is>
          <t>1. On a closed payment try to set State = RECEIVED (list edit).</t>
        </is>
      </c>
      <c r="I73" s="9" t="inlineStr">
        <is>
          <t>Aborted: "State change refused …"; refusal audited.</t>
        </is>
      </c>
      <c r="J73" s="9" t="inlineStr">
        <is>
          <t>Error message</t>
        </is>
      </c>
      <c r="K73" s="9" t="inlineStr"/>
      <c r="L73" s="9" t="inlineStr">
        <is>
          <t>Not Run</t>
        </is>
      </c>
      <c r="M73" s="9" t="inlineStr"/>
      <c r="N73" s="9" t="inlineStr"/>
      <c r="O73" s="9" t="inlineStr"/>
      <c r="P73" s="9" t="inlineStr"/>
    </row>
    <row r="74">
      <c r="A74" s="8" t="inlineStr">
        <is>
          <t>UX-01</t>
        </is>
      </c>
      <c r="B74" s="8" t="inlineStr">
        <is>
          <t>Workspace</t>
        </is>
      </c>
      <c r="C74" s="8" t="inlineStr">
        <is>
          <t>Finance Operations landing page</t>
        </is>
      </c>
      <c r="D74" s="8" t="inlineStr">
        <is>
          <t>Medium</t>
        </is>
      </c>
      <c r="E74" s="8" t="inlineStr">
        <is>
          <t>Positive</t>
        </is>
      </c>
      <c r="F74" s="8" t="inlineStr">
        <is>
          <t>Admin</t>
        </is>
      </c>
      <c r="G74" s="8" t="inlineStr">
        <is>
          <t>—</t>
        </is>
      </c>
      <c r="H74" s="8" t="inlineStr">
        <is>
          <t>1. Open https://pwcmanagementservicesdemo01.service-now.com/now/bcfa/home</t>
        </is>
      </c>
      <c r="I74" s="8" t="inlineStr">
        <is>
          <t>19 KPI cards (AP, AR, AI, Integration); values refreshed every 15 minutes.</t>
        </is>
      </c>
      <c r="J74" s="8" t="inlineStr">
        <is>
          <t>Screenshot</t>
        </is>
      </c>
      <c r="K74" s="8" t="inlineStr"/>
      <c r="L74" s="8" t="inlineStr">
        <is>
          <t>Not Run</t>
        </is>
      </c>
      <c r="M74" s="8" t="inlineStr"/>
      <c r="N74" s="8" t="inlineStr"/>
      <c r="O74" s="8" t="inlineStr"/>
      <c r="P74" s="8" t="inlineStr"/>
    </row>
    <row r="75">
      <c r="A75" s="9" t="inlineStr">
        <is>
          <t>UX-02</t>
        </is>
      </c>
      <c r="B75" s="9" t="inlineStr">
        <is>
          <t>Workspace</t>
        </is>
      </c>
      <c r="C75" s="9" t="inlineStr">
        <is>
          <t>Review Summary on records</t>
        </is>
      </c>
      <c r="D75" s="9" t="inlineStr">
        <is>
          <t>Medium</t>
        </is>
      </c>
      <c r="E75" s="9" t="inlineStr">
        <is>
          <t>Positive</t>
        </is>
      </c>
      <c r="F75" s="9" t="inlineStr">
        <is>
          <t>AP Processor (bcfa.ap.processor)</t>
        </is>
      </c>
      <c r="G75" s="9" t="inlineStr">
        <is>
          <t>—</t>
        </is>
      </c>
      <c r="H75" s="9" t="inlineStr">
        <is>
          <t>1. Open an invoice and a payment.</t>
        </is>
      </c>
      <c r="I75" s="9" t="inlineStr">
        <is>
          <t>Review Summary at the top with extraction, match, tolerances, tax, exceptions, AI (advisory), approval, integration, audit.</t>
        </is>
      </c>
      <c r="J75" s="9" t="inlineStr">
        <is>
          <t>Screenshot</t>
        </is>
      </c>
      <c r="K75" s="9" t="inlineStr"/>
      <c r="L75" s="9" t="inlineStr">
        <is>
          <t>Not Run</t>
        </is>
      </c>
      <c r="M75" s="9" t="inlineStr"/>
      <c r="N75" s="9" t="inlineStr"/>
      <c r="O75" s="9" t="inlineStr"/>
      <c r="P75" s="9" t="inlineStr"/>
    </row>
    <row r="76">
      <c r="A76" s="8" t="inlineStr">
        <is>
          <t>UX-03</t>
        </is>
      </c>
      <c r="B76" s="8" t="inlineStr">
        <is>
          <t>Workspace</t>
        </is>
      </c>
      <c r="C76" s="8" t="inlineStr">
        <is>
          <t>Lists and related lists</t>
        </is>
      </c>
      <c r="D76" s="8" t="inlineStr">
        <is>
          <t>Low</t>
        </is>
      </c>
      <c r="E76" s="8" t="inlineStr">
        <is>
          <t>Positive</t>
        </is>
      </c>
      <c r="F76" s="8" t="inlineStr">
        <is>
          <t>AP Processor (bcfa.ap.processor)</t>
        </is>
      </c>
      <c r="G76" s="8" t="inlineStr">
        <is>
          <t>—</t>
        </is>
      </c>
      <c r="H76" s="8" t="inlineStr">
        <is>
          <t>1. Open AP / Cash Application lists; open Integration Transactions and Audit Events related lists.</t>
        </is>
      </c>
      <c r="I76" s="8" t="inlineStr">
        <is>
          <t>Lists open with BCFA columns; related lists filtered to the record and its correlation ID.</t>
        </is>
      </c>
      <c r="J76" s="8" t="inlineStr">
        <is>
          <t>Screenshot</t>
        </is>
      </c>
      <c r="K76" s="8" t="inlineStr"/>
      <c r="L76" s="8" t="inlineStr">
        <is>
          <t>Not Run</t>
        </is>
      </c>
      <c r="M76" s="8" t="inlineStr"/>
      <c r="N76" s="8" t="inlineStr"/>
      <c r="O76" s="8" t="inlineStr"/>
      <c r="P76" s="8" t="inlineStr"/>
    </row>
    <row r="77">
      <c r="A77" s="9" t="inlineStr">
        <is>
          <t>OPS-01</t>
        </is>
      </c>
      <c r="B77" s="9" t="inlineStr">
        <is>
          <t>Operations</t>
        </is>
      </c>
      <c r="C77" s="9" t="inlineStr">
        <is>
          <t>Demo reset</t>
        </is>
      </c>
      <c r="D77" s="9" t="inlineStr">
        <is>
          <t>Low</t>
        </is>
      </c>
      <c r="E77" s="9" t="inlineStr">
        <is>
          <t>Positive</t>
        </is>
      </c>
      <c r="F77" s="9" t="inlineStr">
        <is>
          <t>Admin</t>
        </is>
      </c>
      <c r="G77" s="9" t="inlineStr">
        <is>
          <t>Only on agreement.</t>
        </is>
      </c>
      <c r="H77" s="9" t="inlineStr">
        <is>
          <t>Test Data step R1.</t>
        </is>
      </c>
      <c r="I77" s="9" t="inlineStr">
        <is>
          <t>Report "AP 9 of 9, AR 10 of 10 as documented"; POC 2 journeys created.</t>
        </is>
      </c>
      <c r="J77" s="9" t="inlineStr">
        <is>
          <t>Script output</t>
        </is>
      </c>
      <c r="K77" s="9" t="inlineStr"/>
      <c r="L77" s="9" t="inlineStr">
        <is>
          <t>Not Run</t>
        </is>
      </c>
      <c r="M77" s="9" t="inlineStr"/>
      <c r="N77" s="9" t="inlineStr"/>
      <c r="O77" s="9" t="inlineStr"/>
      <c r="P77" s="9" t="inlineStr"/>
    </row>
    <row r="78">
      <c r="A78" s="8" t="inlineStr">
        <is>
          <t>OPS-02</t>
        </is>
      </c>
      <c r="B78" s="8" t="inlineStr">
        <is>
          <t>Operations</t>
        </is>
      </c>
      <c r="C78" s="8" t="inlineStr">
        <is>
          <t>Regression suite</t>
        </is>
      </c>
      <c r="D78" s="8" t="inlineStr">
        <is>
          <t>Medium</t>
        </is>
      </c>
      <c r="E78" s="8" t="inlineStr">
        <is>
          <t>Positive</t>
        </is>
      </c>
      <c r="F78" s="8" t="inlineStr">
        <is>
          <t>Admin</t>
        </is>
      </c>
      <c r="G78" s="8" t="inlineStr">
        <is>
          <t>—</t>
        </is>
      </c>
      <c r="H78" s="8" t="inlineStr">
        <is>
          <t>Test Data step R4.</t>
        </is>
      </c>
      <c r="I78" s="8" t="inlineStr">
        <is>
          <t>BCFA Regression 39/39 pass.</t>
        </is>
      </c>
      <c r="J78" s="8" t="inlineStr">
        <is>
          <t>ATF results</t>
        </is>
      </c>
      <c r="K78" s="8" t="inlineStr"/>
      <c r="L78" s="8" t="inlineStr">
        <is>
          <t>Not Run</t>
        </is>
      </c>
      <c r="M78" s="8" t="inlineStr"/>
      <c r="N78" s="8" t="inlineStr"/>
      <c r="O78" s="8" t="inlineStr"/>
      <c r="P78" s="8" t="inlineStr"/>
    </row>
    <row r="79">
      <c r="A79" s="9" t="inlineStr">
        <is>
          <t>P41-D6</t>
        </is>
      </c>
      <c r="B79" s="9" t="inlineStr">
        <is>
          <t>Security · Approver</t>
        </is>
      </c>
      <c r="C79" s="9" t="inlineStr">
        <is>
          <t>Finance Approver enters the Decision Reason</t>
        </is>
      </c>
      <c r="D79" s="9" t="inlineStr">
        <is>
          <t>High</t>
        </is>
      </c>
      <c r="E79" s="9" t="inlineStr">
        <is>
          <t>Positive</t>
        </is>
      </c>
      <c r="F79" s="9" t="inlineStr">
        <is>
          <t>Finance Approver (bcfa.finance.approver)</t>
        </is>
      </c>
      <c r="G79" s="9" t="inlineStr">
        <is>
          <t>An open AP exception and an AR exception.</t>
        </is>
      </c>
      <c r="H79" s="9" t="inlineStr">
        <is>
          <t>1. Open the AP exception; type a Decision Reason; Save.
2. Repeat on the AR exception.
3. Try to edit another field.</t>
        </is>
      </c>
      <c r="I79" s="9" t="inlineStr">
        <is>
          <t>Decision Reason saved on both; every other field stays read-only for the approver.</t>
        </is>
      </c>
      <c r="J79" s="9" t="inlineStr">
        <is>
          <t>Saved exception</t>
        </is>
      </c>
      <c r="K79" s="9" t="inlineStr"/>
      <c r="L79" s="9" t="inlineStr">
        <is>
          <t>Not Run</t>
        </is>
      </c>
      <c r="M79" s="9" t="inlineStr"/>
      <c r="N79" s="9" t="inlineStr"/>
      <c r="O79" s="9" t="inlineStr"/>
      <c r="P79" s="9" t="inlineStr"/>
    </row>
    <row r="80">
      <c r="A80" s="8" t="inlineStr">
        <is>
          <t>P41-D1</t>
        </is>
      </c>
      <c r="B80" s="8" t="inlineStr">
        <is>
          <t>AP · Intake</t>
        </is>
      </c>
      <c r="C80" s="8" t="inlineStr">
        <is>
          <t>Duplicate of a duplicate never loops</t>
        </is>
      </c>
      <c r="D80" s="8" t="inlineStr">
        <is>
          <t>High</t>
        </is>
      </c>
      <c r="E80" s="8" t="inlineStr">
        <is>
          <t>Negative</t>
        </is>
      </c>
      <c r="F80" s="8" t="inlineStr">
        <is>
          <t>AP Processor (bcfa.ap.processor)</t>
        </is>
      </c>
      <c r="G80" s="8" t="inlineStr">
        <is>
          <t>A file already processed once.</t>
        </is>
      </c>
      <c r="H80" s="8" t="inlineStr">
        <is>
          <t>1. Upload the same file twice more and Process Document on each.
2. Open the earliest intake.</t>
        </is>
      </c>
      <c r="I80" s="8" t="inlineStr">
        <is>
          <t>Both later intakes show Duplicate Of = the earliest intake and no new transaction; the earliest intake never points at a later one.</t>
        </is>
      </c>
      <c r="J80" s="8" t="inlineStr">
        <is>
          <t>Intakes</t>
        </is>
      </c>
      <c r="K80" s="8" t="inlineStr"/>
      <c r="L80" s="8" t="inlineStr">
        <is>
          <t>Not Run</t>
        </is>
      </c>
      <c r="M80" s="8" t="inlineStr"/>
      <c r="N80" s="8" t="inlineStr"/>
      <c r="O80" s="8" t="inlineStr"/>
      <c r="P80" s="8" t="inlineStr"/>
    </row>
    <row r="81">
      <c r="A81" s="9" t="inlineStr">
        <is>
          <t>P41-D3</t>
        </is>
      </c>
      <c r="B81" s="9" t="inlineStr">
        <is>
          <t>AP · Intake</t>
        </is>
      </c>
      <c r="C81" s="9" t="inlineStr">
        <is>
          <t>Process Document without an attachment</t>
        </is>
      </c>
      <c r="D81" s="9" t="inlineStr">
        <is>
          <t>Medium</t>
        </is>
      </c>
      <c r="E81" s="9" t="inlineStr">
        <is>
          <t>Negative</t>
        </is>
      </c>
      <c r="F81" s="9" t="inlineStr">
        <is>
          <t>AP Processor (bcfa.ap.processor)</t>
        </is>
      </c>
      <c r="G81" s="9" t="inlineStr">
        <is>
          <t>—</t>
        </is>
      </c>
      <c r="H81" s="9" t="inlineStr">
        <is>
          <t>1. New intake, Document Type AP Invoice, no file; Save; Process Document.</t>
        </is>
      </c>
      <c r="I81" s="9" t="inlineStr">
        <is>
          <t>Message "Attachment required…"; status stays New; no AP invoice and no exception.</t>
        </is>
      </c>
      <c r="J81" s="9" t="inlineStr">
        <is>
          <t>Intake message</t>
        </is>
      </c>
      <c r="K81" s="9" t="inlineStr"/>
      <c r="L81" s="9" t="inlineStr">
        <is>
          <t>Not Run</t>
        </is>
      </c>
      <c r="M81" s="9" t="inlineStr"/>
      <c r="N81" s="9" t="inlineStr"/>
      <c r="O81" s="9" t="inlineStr"/>
      <c r="P81" s="9" t="inlineStr"/>
    </row>
    <row r="82">
      <c r="A82" s="8" t="inlineStr">
        <is>
          <t>P41-D2</t>
        </is>
      </c>
      <c r="B82" s="8" t="inlineStr">
        <is>
          <t>AP · Intake</t>
        </is>
      </c>
      <c r="C82" s="8" t="inlineStr">
        <is>
          <t>A new attempt clears the stale error</t>
        </is>
      </c>
      <c r="D82" s="8" t="inlineStr">
        <is>
          <t>Medium</t>
        </is>
      </c>
      <c r="E82" s="8" t="inlineStr">
        <is>
          <t>Positive</t>
        </is>
      </c>
      <c r="F82" s="8" t="inlineStr">
        <is>
          <t>AP Processor (bcfa.ap.processor)</t>
        </is>
      </c>
      <c r="G82" s="8" t="inlineStr">
        <is>
          <t>P41-D3 done.</t>
        </is>
      </c>
      <c r="H82" s="8" t="inlineStr">
        <is>
          <t>1. Attach the invoice PDF to the same intake; Process Document.</t>
        </is>
      </c>
      <c r="I82" s="8" t="inlineStr">
        <is>
          <t>The old "Attachment required" message is cleared; the audit trail keeps it.</t>
        </is>
      </c>
      <c r="J82" s="8" t="inlineStr">
        <is>
          <t>Intake and audit events</t>
        </is>
      </c>
      <c r="K82" s="8" t="inlineStr"/>
      <c r="L82" s="8" t="inlineStr">
        <is>
          <t>Not Run</t>
        </is>
      </c>
      <c r="M82" s="8" t="inlineStr"/>
      <c r="N82" s="8" t="inlineStr"/>
      <c r="O82" s="8" t="inlineStr"/>
      <c r="P82" s="8" t="inlineStr"/>
    </row>
    <row r="83">
      <c r="A83" s="9" t="inlineStr">
        <is>
          <t>P41-D4</t>
        </is>
      </c>
      <c r="B83" s="9" t="inlineStr">
        <is>
          <t>Approvals</t>
        </is>
      </c>
      <c r="C83" s="9" t="inlineStr">
        <is>
          <t>Who may decide is visible</t>
        </is>
      </c>
      <c r="D83" s="9" t="inlineStr">
        <is>
          <t>Medium</t>
        </is>
      </c>
      <c r="E83" s="9" t="inlineStr">
        <is>
          <t>Positive</t>
        </is>
      </c>
      <c r="F83" s="9" t="inlineStr">
        <is>
          <t>Finance Approver (bcfa.finance.approver)</t>
        </is>
      </c>
      <c r="G83" s="9" t="inlineStr">
        <is>
          <t>An invoice in PENDING_APPROVAL.</t>
        </is>
      </c>
      <c r="H83" s="9" t="inlineStr">
        <is>
          <t>1. Open the approval record.</t>
        </is>
      </c>
      <c r="I83" s="9" t="inlineStr">
        <is>
          <t>Eligible Approvers lists the users who may decide (requester and processor excluded).</t>
        </is>
      </c>
      <c r="J83" s="9" t="inlineStr">
        <is>
          <t>Approval</t>
        </is>
      </c>
      <c r="K83" s="9" t="inlineStr"/>
      <c r="L83" s="9" t="inlineStr">
        <is>
          <t>Not Run</t>
        </is>
      </c>
      <c r="M83" s="9" t="inlineStr"/>
      <c r="N83" s="9" t="inlineStr"/>
      <c r="O83" s="9" t="inlineStr"/>
      <c r="P83" s="9" t="inlineStr"/>
    </row>
    <row r="84">
      <c r="A84" s="8" t="inlineStr">
        <is>
          <t>P41-D5</t>
        </is>
      </c>
      <c r="B84" s="8" t="inlineStr">
        <is>
          <t>AP · Match</t>
        </is>
      </c>
      <c r="C84" s="8" t="inlineStr">
        <is>
          <t>Invoice and PO in different currencies</t>
        </is>
      </c>
      <c r="D84" s="8" t="inlineStr">
        <is>
          <t>High</t>
        </is>
      </c>
      <c r="E84" s="8" t="inlineStr">
        <is>
          <t>Negative</t>
        </is>
      </c>
      <c r="F84" s="8" t="inlineStr">
        <is>
          <t>AP Processor (bcfa.ap.processor)</t>
        </is>
      </c>
      <c r="G84" s="8" t="inlineStr">
        <is>
          <t>An invoice in USD on an INR PO.</t>
        </is>
      </c>
      <c r="H84" s="8" t="inlineStr">
        <is>
          <t>1. Re-run Match.</t>
        </is>
      </c>
      <c r="I84" s="8" t="inlineStr">
        <is>
          <t>Prices compared after conversion at the governed rate (FX detail on the match), or the invoice goes to review with reason Currency mismatch. Never a raw unit-price comparison.</t>
        </is>
      </c>
      <c r="J84" s="8" t="inlineStr">
        <is>
          <t>Match / exception</t>
        </is>
      </c>
      <c r="K84" s="8" t="inlineStr"/>
      <c r="L84" s="8" t="inlineStr">
        <is>
          <t>Not Run</t>
        </is>
      </c>
      <c r="M84" s="8" t="inlineStr"/>
      <c r="N84" s="8" t="inlineStr"/>
      <c r="O84" s="8" t="inlineStr"/>
      <c r="P84" s="8" t="inlineStr"/>
    </row>
    <row r="85">
      <c r="A85" s="9" t="inlineStr">
        <is>
          <t>P41-D6B</t>
        </is>
      </c>
      <c r="B85" s="9" t="inlineStr">
        <is>
          <t>AP · Re-run</t>
        </is>
      </c>
      <c r="C85" s="9" t="inlineStr">
        <is>
          <t>Re-run checks from EXCEPTION and PENDING_APPROVAL</t>
        </is>
      </c>
      <c r="D85" s="9" t="inlineStr">
        <is>
          <t>High</t>
        </is>
      </c>
      <c r="E85" s="9" t="inlineStr">
        <is>
          <t>Positive</t>
        </is>
      </c>
      <c r="F85" s="9" t="inlineStr">
        <is>
          <t>AP Processor (bcfa.ap.processor)</t>
        </is>
      </c>
      <c r="G85" s="9" t="inlineStr">
        <is>
          <t>An invoice in EXCEPTION and one in PENDING_APPROVAL.</t>
        </is>
      </c>
      <c r="H85" s="9" t="inlineStr">
        <is>
          <t>1. Re-run Validation on the first.
2. Re-run Match on the second.</t>
        </is>
      </c>
      <c r="I85" s="9" t="inlineStr">
        <is>
          <t>Checks run again from the current state; earlier exceptions are superseded; the pending approval is Withdrawn and can no longer be decided.</t>
        </is>
      </c>
      <c r="J85" s="9" t="inlineStr">
        <is>
          <t>Invoice, approval</t>
        </is>
      </c>
      <c r="K85" s="9" t="inlineStr"/>
      <c r="L85" s="9" t="inlineStr">
        <is>
          <t>Not Run</t>
        </is>
      </c>
      <c r="M85" s="9" t="inlineStr"/>
      <c r="N85" s="9" t="inlineStr"/>
      <c r="O85" s="9" t="inlineStr"/>
      <c r="P85" s="9" t="inlineStr"/>
    </row>
    <row r="86">
      <c r="A86" s="8" t="inlineStr">
        <is>
          <t>P41-D7</t>
        </is>
      </c>
      <c r="B86" s="8" t="inlineStr">
        <is>
          <t>UI · Playbook</t>
        </is>
      </c>
      <c r="C86" s="8" t="inlineStr">
        <is>
          <t>Extracted data readable</t>
        </is>
      </c>
      <c r="D86" s="8" t="inlineStr">
        <is>
          <t>Medium</t>
        </is>
      </c>
      <c r="E86" s="8" t="inlineStr">
        <is>
          <t>Positive</t>
        </is>
      </c>
      <c r="F86" s="8" t="inlineStr">
        <is>
          <t>AP Processor (bcfa.ap.processor)</t>
        </is>
      </c>
      <c r="G86" s="8" t="inlineStr">
        <is>
          <t>A processed intake.</t>
        </is>
      </c>
      <c r="H86" s="8" t="inlineStr">
        <is>
          <t>1. Open the intake, then Open Playbook on its invoice.</t>
        </is>
      </c>
      <c r="I86" s="8" t="inlineStr">
        <is>
          <t>Extracted Data (readable) in sections on the intake and in the Document Understanding stage; no raw JSON.</t>
        </is>
      </c>
      <c r="J86" s="8" t="inlineStr">
        <is>
          <t>Screenshot</t>
        </is>
      </c>
      <c r="K86" s="8" t="inlineStr"/>
      <c r="L86" s="8" t="inlineStr">
        <is>
          <t>Not Run</t>
        </is>
      </c>
      <c r="M86" s="8" t="inlineStr"/>
      <c r="N86" s="8" t="inlineStr"/>
      <c r="O86" s="8" t="inlineStr"/>
      <c r="P86" s="8" t="inlineStr"/>
    </row>
    <row r="87">
      <c r="A87" s="9" t="inlineStr">
        <is>
          <t>P41-D8</t>
        </is>
      </c>
      <c r="B87" s="9" t="inlineStr">
        <is>
          <t>AR · Correlation</t>
        </is>
      </c>
      <c r="C87" s="9" t="inlineStr">
        <is>
          <t>Same reference, different customer is not linked</t>
        </is>
      </c>
      <c r="D87" s="9" t="inlineStr">
        <is>
          <t>High</t>
        </is>
      </c>
      <c r="E87" s="9" t="inlineStr">
        <is>
          <t>Negative</t>
        </is>
      </c>
      <c r="F87" s="9" t="inlineStr">
        <is>
          <t>AR Processor (bcfa.ar.processor)</t>
        </is>
      </c>
      <c r="G87" s="9" t="inlineStr">
        <is>
          <t>A payment with reference R for customer A.</t>
        </is>
      </c>
      <c r="H87" s="9" t="inlineStr">
        <is>
          <t>1. Process an advice with reference R from customer B.</t>
        </is>
      </c>
      <c r="I87" s="9" t="inlineStr">
        <is>
          <t>Not linked; review names the conflicting customer.</t>
        </is>
      </c>
      <c r="J87" s="9" t="inlineStr">
        <is>
          <t>Intake message</t>
        </is>
      </c>
      <c r="K87" s="9" t="inlineStr"/>
      <c r="L87" s="9" t="inlineStr">
        <is>
          <t>Not Run</t>
        </is>
      </c>
      <c r="M87" s="9" t="inlineStr"/>
      <c r="N87" s="9" t="inlineStr"/>
      <c r="O87" s="9" t="inlineStr"/>
      <c r="P87" s="9" t="inlineStr"/>
    </row>
    <row r="88">
      <c r="A88" s="8" t="inlineStr">
        <is>
          <t>P41-D9</t>
        </is>
      </c>
      <c r="B88" s="8" t="inlineStr">
        <is>
          <t>AP · Extraction</t>
        </is>
      </c>
      <c r="C88" s="8" t="inlineStr">
        <is>
          <t>Shipping / handling reconciles</t>
        </is>
      </c>
      <c r="D88" s="8" t="inlineStr">
        <is>
          <t>High</t>
        </is>
      </c>
      <c r="E88" s="8" t="inlineStr">
        <is>
          <t>Positive</t>
        </is>
      </c>
      <c r="F88" s="8" t="inlineStr">
        <is>
          <t>AP Processor (bcfa.ap.processor)</t>
        </is>
      </c>
      <c r="G88" s="8" t="inlineStr">
        <is>
          <t>Invoice with subtotal + sales tax + shipping (e.g. the Uline invoice pages, split under 4 MB).</t>
        </is>
      </c>
      <c r="H88" s="8" t="inlineStr">
        <is>
          <t>1. Upload, Process Document, open the invoice.</t>
        </is>
      </c>
      <c r="I88" s="8" t="inlineStr">
        <is>
          <t>Charges Amount and Amount Reconciliation = Reconciled; confidence unaffected by the charge.</t>
        </is>
      </c>
      <c r="J88" s="8" t="inlineStr">
        <is>
          <t>Invoice</t>
        </is>
      </c>
      <c r="K88" s="8" t="inlineStr"/>
      <c r="L88" s="8" t="inlineStr">
        <is>
          <t>Not Run</t>
        </is>
      </c>
      <c r="M88" s="8" t="inlineStr"/>
      <c r="N88" s="8" t="inlineStr"/>
      <c r="O88" s="8" t="inlineStr"/>
      <c r="P88" s="8" t="inlineStr"/>
    </row>
    <row r="89">
      <c r="A89" s="9" t="inlineStr">
        <is>
          <t>P41-D10</t>
        </is>
      </c>
      <c r="B89" s="9" t="inlineStr">
        <is>
          <t>AR · Payment</t>
        </is>
      </c>
      <c r="C89" s="9" t="inlineStr">
        <is>
          <t>A payment created on the form enters the lifecycle</t>
        </is>
      </c>
      <c r="D89" s="9" t="inlineStr">
        <is>
          <t>Medium</t>
        </is>
      </c>
      <c r="E89" s="9" t="inlineStr">
        <is>
          <t>Positive</t>
        </is>
      </c>
      <c r="F89" s="9" t="inlineStr">
        <is>
          <t>AR Processor (bcfa.ar.processor)</t>
        </is>
      </c>
      <c r="G89" s="9" t="inlineStr">
        <is>
          <t>—</t>
        </is>
      </c>
      <c r="H89" s="9" t="inlineStr">
        <is>
          <t>1. Create a payment on the form; Save.</t>
        </is>
      </c>
      <c r="I89" s="9" t="inlineStr">
        <is>
          <t>State RECEIVED, correlation ID and idempotency key set.</t>
        </is>
      </c>
      <c r="J89" s="9" t="inlineStr">
        <is>
          <t>Payment</t>
        </is>
      </c>
      <c r="K89" s="9" t="inlineStr"/>
      <c r="L89" s="9" t="inlineStr">
        <is>
          <t>Not Run</t>
        </is>
      </c>
      <c r="M89" s="9" t="inlineStr"/>
      <c r="N89" s="9" t="inlineStr"/>
      <c r="O89" s="9" t="inlineStr"/>
      <c r="P89" s="9" t="inlineStr"/>
    </row>
    <row r="90">
      <c r="A90" s="8" t="inlineStr">
        <is>
          <t>P41-INV</t>
        </is>
      </c>
      <c r="B90" s="8" t="inlineStr">
        <is>
          <t>AP · Intake</t>
        </is>
      </c>
      <c r="C90" s="8" t="inlineStr">
        <is>
          <t>Unknown vendor / PO: invoice created, exception on the invoice</t>
        </is>
      </c>
      <c r="D90" s="8" t="inlineStr">
        <is>
          <t>High</t>
        </is>
      </c>
      <c r="E90" s="8" t="inlineStr">
        <is>
          <t>Negative</t>
        </is>
      </c>
      <c r="F90" s="8" t="inlineStr">
        <is>
          <t>AP Processor (bcfa.ap.processor)</t>
        </is>
      </c>
      <c r="G90" s="8" t="inlineStr">
        <is>
          <t>Fixture test/fixtures/AP_INV_107_TH_VAT7.pdf (Thai, vendor and PO not in master data).</t>
        </is>
      </c>
      <c r="H90" s="8" t="inlineStr">
        <is>
          <t>1. New intake, AP Invoice, attach, Process Document; wait 1-2 minutes; refresh.
2. Open the AP invoice.
3. (Admin) create the vendor with exactly the printed name; Re-run Validation.</t>
        </is>
      </c>
      <c r="I90" s="8" t="inlineStr">
        <is>
          <t>Intake Completed; invoice created with Vendor (Printed), PO Number (Printed), 3 lines; EXCEPTION Vendor Invalid naming the printed vendor. After step 3: vendor linked; new exception PO Mismatch (printed PO not found) until the PO exists.</t>
        </is>
      </c>
      <c r="J90" s="8" t="inlineStr">
        <is>
          <t>Invoice, exceptions</t>
        </is>
      </c>
      <c r="K90" s="8" t="inlineStr"/>
      <c r="L90" s="8" t="inlineStr">
        <is>
          <t>Not Run</t>
        </is>
      </c>
      <c r="M90" s="8" t="inlineStr"/>
      <c r="N90" s="8" t="inlineStr"/>
      <c r="O90" s="8" t="inlineStr"/>
      <c r="P90" s="8" t="inlineStr"/>
    </row>
    <row r="91">
      <c r="A91" s="9" t="inlineStr">
        <is>
          <t>P41-CS-01</t>
        </is>
      </c>
      <c r="B91" s="9" t="inlineStr">
        <is>
          <t>Client samples</t>
        </is>
      </c>
      <c r="C91" s="9" t="inlineStr">
        <is>
          <t>Latin-script invoices</t>
        </is>
      </c>
      <c r="D91" s="9" t="inlineStr">
        <is>
          <t>High</t>
        </is>
      </c>
      <c r="E91" s="9" t="inlineStr">
        <is>
          <t>Positive</t>
        </is>
      </c>
      <c r="F91" s="9" t="inlineStr">
        <is>
          <t>AP Processor (bcfa.ap.processor)</t>
        </is>
      </c>
      <c r="G91" s="9" t="inlineStr">
        <is>
          <t>Client pack (ask the BCFA team; not in source control).</t>
        </is>
      </c>
      <c r="H91" s="9" t="inlineStr">
        <is>
          <t>1. Upload CS-02, CS-12, CS-16, CS-22 as AP Invoice; Process Document; wait 1-2 minutes.</t>
        </is>
      </c>
      <c r="I91" s="9" t="inlineStr">
        <is>
          <t>Critical fields as in CLIENT_DOCUMENT_TEST_MATRIX.md; review only because the vendor is not in the POC master data.</t>
        </is>
      </c>
      <c r="J91" s="9" t="inlineStr">
        <is>
          <t>Intakes</t>
        </is>
      </c>
      <c r="K91" s="9" t="inlineStr"/>
      <c r="L91" s="9" t="inlineStr">
        <is>
          <t>Not Run</t>
        </is>
      </c>
      <c r="M91" s="9" t="inlineStr"/>
      <c r="N91" s="9" t="inlineStr"/>
      <c r="O91" s="9" t="inlineStr"/>
      <c r="P91" s="9" t="inlineStr"/>
    </row>
    <row r="92">
      <c r="A92" s="8" t="inlineStr">
        <is>
          <t>P41-CS-02</t>
        </is>
      </c>
      <c r="B92" s="8" t="inlineStr">
        <is>
          <t>Client samples</t>
        </is>
      </c>
      <c r="C92" s="8" t="inlineStr">
        <is>
          <t>Payment advices with per-invoice lines</t>
        </is>
      </c>
      <c r="D92" s="8" t="inlineStr">
        <is>
          <t>High</t>
        </is>
      </c>
      <c r="E92" s="8" t="inlineStr">
        <is>
          <t>Positive</t>
        </is>
      </c>
      <c r="F92" s="8" t="inlineStr">
        <is>
          <t>AR Processor (bcfa.ar.processor)</t>
        </is>
      </c>
      <c r="G92" s="8" t="inlineStr">
        <is>
          <t>Client pack.</t>
        </is>
      </c>
      <c r="H92" s="8" t="inlineStr">
        <is>
          <t>1. Upload CS-04, CS-05, CS-09 as AR Payment Advice; Process Document.</t>
        </is>
      </c>
      <c r="I92" s="8" t="inlineStr">
        <is>
          <t>Payer, reference, amount, currency read; per-invoice lines reconcile to the payment (CS-04: TDS per invoice); review only for the customer master data.</t>
        </is>
      </c>
      <c r="J92" s="8" t="inlineStr">
        <is>
          <t>Intakes</t>
        </is>
      </c>
      <c r="K92" s="8" t="inlineStr"/>
      <c r="L92" s="8" t="inlineStr">
        <is>
          <t>Not Run</t>
        </is>
      </c>
      <c r="M92" s="8" t="inlineStr"/>
      <c r="N92" s="8" t="inlineStr"/>
      <c r="O92" s="8" t="inlineStr"/>
      <c r="P92" s="8" t="inlineStr"/>
    </row>
    <row r="93">
      <c r="A93" s="9" t="inlineStr">
        <is>
          <t>P41-CS-03</t>
        </is>
      </c>
      <c r="B93" s="9" t="inlineStr">
        <is>
          <t>Client samples</t>
        </is>
      </c>
      <c r="C93" s="9" t="inlineStr">
        <is>
          <t>Large package</t>
        </is>
      </c>
      <c r="D93" s="9" t="inlineStr">
        <is>
          <t>Medium</t>
        </is>
      </c>
      <c r="E93" s="9" t="inlineStr">
        <is>
          <t>Negative</t>
        </is>
      </c>
      <c r="F93" s="9" t="inlineStr">
        <is>
          <t>AP Processor (bcfa.ap.processor)</t>
        </is>
      </c>
      <c r="G93" s="9" t="inlineStr">
        <is>
          <t>Client pack, CS-28 (14.7 MB).</t>
        </is>
      </c>
      <c r="H93" s="9" t="inlineStr">
        <is>
          <t>1. Upload as AP Invoice; Process Document.</t>
        </is>
      </c>
      <c r="I93" s="9" t="inlineStr">
        <is>
          <t>Review: "native extraction accepts up to 4 MB per file. Upload the invoice pages only"; nothing extracted.</t>
        </is>
      </c>
      <c r="J93" s="9" t="inlineStr">
        <is>
          <t>Intake message</t>
        </is>
      </c>
      <c r="K93" s="9" t="inlineStr"/>
      <c r="L93" s="9" t="inlineStr">
        <is>
          <t>Not Run</t>
        </is>
      </c>
      <c r="M93" s="9" t="inlineStr"/>
      <c r="N93" s="9" t="inlineStr"/>
      <c r="O93" s="9" t="inlineStr"/>
      <c r="P93" s="9" t="inlineStr"/>
    </row>
    <row r="94">
      <c r="A94" s="8" t="inlineStr">
        <is>
          <t>P41-CS-04</t>
        </is>
      </c>
      <c r="B94" s="8" t="inlineStr">
        <is>
          <t>Client samples</t>
        </is>
      </c>
      <c r="C94" s="8" t="inlineStr">
        <is>
          <t>Not an invoice</t>
        </is>
      </c>
      <c r="D94" s="8" t="inlineStr">
        <is>
          <t>Medium</t>
        </is>
      </c>
      <c r="E94" s="8" t="inlineStr">
        <is>
          <t>Negative</t>
        </is>
      </c>
      <c r="F94" s="8" t="inlineStr">
        <is>
          <t>AP Processor (bcfa.ap.processor)</t>
        </is>
      </c>
      <c r="G94" s="8" t="inlineStr">
        <is>
          <t>Client pack, CS-23 (PO + GRN only).</t>
        </is>
      </c>
      <c r="H94" s="8" t="inlineStr">
        <is>
          <t>1. Upload as AP Invoice; Process Document.</t>
        </is>
      </c>
      <c r="I94" s="8" t="inlineStr">
        <is>
          <t>Review; no invoice number, vendor or amount invented.</t>
        </is>
      </c>
      <c r="J94" s="8" t="inlineStr">
        <is>
          <t>Intake</t>
        </is>
      </c>
      <c r="K94" s="8" t="inlineStr"/>
      <c r="L94" s="8" t="inlineStr">
        <is>
          <t>Not Run</t>
        </is>
      </c>
      <c r="M94" s="8" t="inlineStr"/>
      <c r="N94" s="8" t="inlineStr"/>
      <c r="O94" s="8" t="inlineStr"/>
      <c r="P94" s="8" t="inlineStr"/>
    </row>
    <row r="95">
      <c r="A95" s="9" t="inlineStr">
        <is>
          <t>P41-CS-05</t>
        </is>
      </c>
      <c r="B95" s="9" t="inlineStr">
        <is>
          <t>Client samples</t>
        </is>
      </c>
      <c r="C95" s="9" t="inlineStr">
        <is>
          <t>Chinese / Korean / Thai invoices (known platform limitation)</t>
        </is>
      </c>
      <c r="D95" s="9" t="inlineStr">
        <is>
          <t>High</t>
        </is>
      </c>
      <c r="E95" s="9" t="inlineStr">
        <is>
          <t>Negative</t>
        </is>
      </c>
      <c r="F95" s="9" t="inlineStr">
        <is>
          <t>AP Processor (bcfa.ap.processor)</t>
        </is>
      </c>
      <c r="G95" s="9" t="inlineStr">
        <is>
          <t>Client pack, CS-18, CS-19, CS-26.</t>
        </is>
      </c>
      <c r="H95" s="9" t="inlineStr">
        <is>
          <t>1. Upload as AP Invoice; Process Document.</t>
        </is>
      </c>
      <c r="I95" s="9" t="inlineStr">
        <is>
          <t>Fields not read are left empty (no value invented); confidence low; review. See MULTILINGUAL_DOCUMENT_INTELLIGENCE_READINESS.md.</t>
        </is>
      </c>
      <c r="J95" s="9" t="inlineStr">
        <is>
          <t>Intakes</t>
        </is>
      </c>
      <c r="K95" s="9" t="inlineStr"/>
      <c r="L95" s="9" t="inlineStr">
        <is>
          <t>Not Run</t>
        </is>
      </c>
      <c r="M95" s="9" t="inlineStr"/>
      <c r="N95" s="9" t="inlineStr"/>
      <c r="O95" s="9" t="inlineStr"/>
      <c r="P95" s="9" t="inlineStr"/>
    </row>
  </sheetData>
  <autoFilter ref="A1:P95"/>
  <conditionalFormatting sqref="L2:L9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L2:L95" showDropDown="0" showInputMessage="0" showErrorMessage="0" allowBlank="0" type="list">
      <formula1>"Not Run,Pass,Fail,Blocked,N/A"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55" customWidth="1" min="4" max="4"/>
    <col width="30" customWidth="1" min="5" max="5"/>
    <col width="11" customWidth="1" min="6" max="6"/>
    <col width="12" customWidth="1" min="7" max="7"/>
    <col width="11" customWidth="1" min="8" max="8"/>
    <col width="25" customWidth="1" min="9" max="9"/>
  </cols>
  <sheetData>
    <row r="1" ht="30" customHeight="1">
      <c r="A1" s="7" t="inlineStr">
        <is>
          <t>Step</t>
        </is>
      </c>
      <c r="B1" s="7" t="inlineStr">
        <is>
          <t>Persona</t>
        </is>
      </c>
      <c r="C1" s="7" t="inlineStr">
        <is>
          <t>Action</t>
        </is>
      </c>
      <c r="D1" s="7" t="inlineStr">
        <is>
          <t>Expected result</t>
        </is>
      </c>
      <c r="E1" s="7" t="inlineStr">
        <is>
          <t>Actual result</t>
        </is>
      </c>
      <c r="F1" s="7" t="inlineStr">
        <is>
          <t>Status</t>
        </is>
      </c>
      <c r="G1" s="7" t="inlineStr">
        <is>
          <t>Tester</t>
        </is>
      </c>
      <c r="H1" s="7" t="inlineStr">
        <is>
          <t>Date</t>
        </is>
      </c>
      <c r="I1" s="7" t="inlineStr">
        <is>
          <t>Notes</t>
        </is>
      </c>
    </row>
    <row r="2">
      <c r="A2" s="8" t="inlineStr">
        <is>
          <t>Prepare</t>
        </is>
      </c>
      <c r="B2" s="8" t="inlineStr">
        <is>
          <t>Admin</t>
        </is>
      </c>
      <c r="C2" s="8" t="inlineStr">
        <is>
          <t>Run scripts/deploy/phase40_demo_prep_&lt;suffix&gt;_bg.js (Scripts - Background, scope x_695068_bcfa).</t>
        </is>
      </c>
      <c r="D2" s="8" t="inlineStr">
        <is>
          <t>Log line BCFA_DEMO40 prep &lt;suffix&gt;: open items and bank line created.</t>
        </is>
      </c>
      <c r="E2" s="8" t="inlineStr"/>
      <c r="F2" s="8" t="inlineStr">
        <is>
          <t>Not Run</t>
        </is>
      </c>
      <c r="G2" s="8" t="inlineStr"/>
      <c r="H2" s="8" t="inlineStr"/>
      <c r="I2" s="8" t="inlineStr"/>
    </row>
    <row r="3">
      <c r="A3" s="9" t="inlineStr">
        <is>
          <t>1 Intake</t>
        </is>
      </c>
      <c r="B3" s="9" t="inlineStr">
        <is>
          <t>AP Processor (bcfa.ap.processor)</t>
        </is>
      </c>
      <c r="C3" s="9" t="inlineStr">
        <is>
          <t>Document Intake &gt; New; Document Type AP Invoice; attach AP_INV_&lt;suffix&gt;_DEMO_NATIVE.pdf; Save; Process Document.</t>
        </is>
      </c>
      <c r="D3" s="9" t="inlineStr">
        <is>
          <t>Extracting; message about native extraction.</t>
        </is>
      </c>
      <c r="E3" s="9" t="inlineStr"/>
      <c r="F3" s="9" t="inlineStr">
        <is>
          <t>Not Run</t>
        </is>
      </c>
      <c r="G3" s="9" t="inlineStr"/>
      <c r="H3" s="9" t="inlineStr"/>
      <c r="I3" s="9" t="inlineStr"/>
    </row>
    <row r="4">
      <c r="A4" s="8" t="inlineStr">
        <is>
          <t>2 Extraction</t>
        </is>
      </c>
      <c r="B4" s="8" t="inlineStr">
        <is>
          <t>AP Processor (bcfa.ap.processor)</t>
        </is>
      </c>
      <c r="C4" s="8" t="inlineStr">
        <is>
          <t>Wait ~1 minute; refresh the intake; open the invoice.</t>
        </is>
      </c>
      <c r="D4" s="8" t="inlineStr">
        <is>
          <t>Intake Completed; INV-AP-&lt;suffix&gt; created; NATIVE EXTRACTION banner; confidence 1.</t>
        </is>
      </c>
      <c r="E4" s="8" t="inlineStr"/>
      <c r="F4" s="8" t="inlineStr">
        <is>
          <t>Not Run</t>
        </is>
      </c>
      <c r="G4" s="8" t="inlineStr"/>
      <c r="H4" s="8" t="inlineStr"/>
      <c r="I4" s="8" t="inlineStr"/>
    </row>
    <row r="5">
      <c r="A5" s="9" t="inlineStr">
        <is>
          <t>3 Validation</t>
        </is>
      </c>
      <c r="B5" s="9" t="inlineStr">
        <is>
          <t>AP Processor (bcfa.ap.processor)</t>
        </is>
      </c>
      <c r="C5" s="9" t="inlineStr">
        <is>
          <t>Read the Review Summary (vendor, PO, duplicate check).</t>
        </is>
      </c>
      <c r="D5" s="9" t="inlineStr">
        <is>
          <t>Vendor Rajasthan Carbon Feedstock Pvt Ltd, PO0001; no exception.</t>
        </is>
      </c>
      <c r="E5" s="9" t="inlineStr"/>
      <c r="F5" s="9" t="inlineStr">
        <is>
          <t>Not Run</t>
        </is>
      </c>
      <c r="G5" s="9" t="inlineStr"/>
      <c r="H5" s="9" t="inlineStr"/>
      <c r="I5" s="9" t="inlineStr"/>
    </row>
    <row r="6">
      <c r="A6" s="8" t="inlineStr">
        <is>
          <t>4 Tax</t>
        </is>
      </c>
      <c r="B6" s="8" t="inlineStr">
        <is>
          <t>AP Processor (bcfa.ap.processor)</t>
        </is>
      </c>
      <c r="C6" s="8" t="inlineStr">
        <is>
          <t>Read Tax Validation fields.</t>
        </is>
      </c>
      <c r="D6" s="8" t="inlineStr">
        <is>
          <t>GST regime, expected 900, Pass, rule source decision table.</t>
        </is>
      </c>
      <c r="E6" s="8" t="inlineStr"/>
      <c r="F6" s="8" t="inlineStr">
        <is>
          <t>Not Run</t>
        </is>
      </c>
      <c r="G6" s="8" t="inlineStr"/>
      <c r="H6" s="8" t="inlineStr"/>
      <c r="I6" s="8" t="inlineStr"/>
    </row>
    <row r="7">
      <c r="A7" s="9" t="inlineStr">
        <is>
          <t>5 Match</t>
        </is>
      </c>
      <c r="B7" s="9" t="inlineStr">
        <is>
          <t>AP Processor (bcfa.ap.processor)</t>
        </is>
      </c>
      <c r="C7" s="9" t="inlineStr">
        <is>
          <t>AP Match related list.</t>
        </is>
      </c>
      <c r="D7" s="9" t="inlineStr">
        <is>
          <t>Matched within tolerance; tolerance detail per check.</t>
        </is>
      </c>
      <c r="E7" s="9" t="inlineStr"/>
      <c r="F7" s="9" t="inlineStr">
        <is>
          <t>Not Run</t>
        </is>
      </c>
      <c r="G7" s="9" t="inlineStr"/>
      <c r="H7" s="9" t="inlineStr"/>
      <c r="I7" s="9" t="inlineStr"/>
    </row>
    <row r="8">
      <c r="A8" s="8" t="inlineStr">
        <is>
          <t>6 Playbook</t>
        </is>
      </c>
      <c r="B8" s="8" t="inlineStr">
        <is>
          <t>AP Processor (bcfa.ap.processor)</t>
        </is>
      </c>
      <c r="C8" s="8" t="inlineStr">
        <is>
          <t>Open Playbook.</t>
        </is>
      </c>
      <c r="D8" s="8" t="inlineStr">
        <is>
          <t>Stages 1–5 complete; stage 6 Approval in progress, owner Finance Approver.</t>
        </is>
      </c>
      <c r="E8" s="8" t="inlineStr"/>
      <c r="F8" s="8" t="inlineStr">
        <is>
          <t>Not Run</t>
        </is>
      </c>
      <c r="G8" s="8" t="inlineStr"/>
      <c r="H8" s="8" t="inlineStr"/>
      <c r="I8" s="8" t="inlineStr"/>
    </row>
    <row r="9">
      <c r="A9" s="9" t="inlineStr">
        <is>
          <t>7 Approval</t>
        </is>
      </c>
      <c r="B9" s="9" t="inlineStr">
        <is>
          <t>Finance Approver (bcfa.finance.approver)</t>
        </is>
      </c>
      <c r="C9" s="9" t="inlineStr">
        <is>
          <t>AP &gt; Approvals &gt; Approve.</t>
        </is>
      </c>
      <c r="D9" s="9" t="inlineStr">
        <is>
          <t>Approval decided with SoD checks.</t>
        </is>
      </c>
      <c r="E9" s="9" t="inlineStr"/>
      <c r="F9" s="9" t="inlineStr">
        <is>
          <t>Not Run</t>
        </is>
      </c>
      <c r="G9" s="9" t="inlineStr"/>
      <c r="H9" s="9" t="inlineStr"/>
      <c r="I9" s="9" t="inlineStr"/>
    </row>
    <row r="10">
      <c r="A10" s="8" t="inlineStr">
        <is>
          <t>8 SAP posting</t>
        </is>
      </c>
      <c r="B10" s="8" t="inlineStr">
        <is>
          <t>Finance Approver (bcfa.finance.approver)</t>
        </is>
      </c>
      <c r="C10" s="8" t="inlineStr">
        <is>
          <t>Refresh the invoice; Integration Transactions.</t>
        </is>
      </c>
      <c r="D10" s="8" t="inlineStr">
        <is>
          <t>postVendorInvoice success, MIRO… document, POSTED.</t>
        </is>
      </c>
      <c r="E10" s="8" t="inlineStr"/>
      <c r="F10" s="8" t="inlineStr">
        <is>
          <t>Not Run</t>
        </is>
      </c>
      <c r="G10" s="8" t="inlineStr"/>
      <c r="H10" s="8" t="inlineStr"/>
      <c r="I10" s="8" t="inlineStr"/>
    </row>
    <row r="11">
      <c r="A11" s="9" t="inlineStr">
        <is>
          <t>9 Closure</t>
        </is>
      </c>
      <c r="B11" s="9" t="inlineStr">
        <is>
          <t>Auditor</t>
        </is>
      </c>
      <c r="C11" s="9" t="inlineStr">
        <is>
          <t>Refresh; Audit Events; Playbook.</t>
        </is>
      </c>
      <c r="D11" s="9" t="inlineStr">
        <is>
          <t>CLOSED; all 8 stages complete; full audit chain.</t>
        </is>
      </c>
      <c r="E11" s="9" t="inlineStr"/>
      <c r="F11" s="9" t="inlineStr">
        <is>
          <t>Not Run</t>
        </is>
      </c>
      <c r="G11" s="9" t="inlineStr"/>
      <c r="H11" s="9" t="inlineStr"/>
      <c r="I11" s="9" t="inlineStr"/>
    </row>
  </sheetData>
  <conditionalFormatting sqref="F2:F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2:F11" showDropDown="0" showInputMessage="0" showErrorMessage="0" allowBlank="0" type="list">
      <formula1>"Not Run,Pass,Fail,Blocked,N/A"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  <col width="55" customWidth="1" min="4" max="4"/>
    <col width="30" customWidth="1" min="5" max="5"/>
    <col width="11" customWidth="1" min="6" max="6"/>
    <col width="12" customWidth="1" min="7" max="7"/>
    <col width="11" customWidth="1" min="8" max="8"/>
    <col width="25" customWidth="1" min="9" max="9"/>
  </cols>
  <sheetData>
    <row r="1" ht="30" customHeight="1">
      <c r="A1" s="7" t="inlineStr">
        <is>
          <t>Step</t>
        </is>
      </c>
      <c r="B1" s="7" t="inlineStr">
        <is>
          <t>Persona</t>
        </is>
      </c>
      <c r="C1" s="7" t="inlineStr">
        <is>
          <t>Action</t>
        </is>
      </c>
      <c r="D1" s="7" t="inlineStr">
        <is>
          <t>Expected result</t>
        </is>
      </c>
      <c r="E1" s="7" t="inlineStr">
        <is>
          <t>Actual result</t>
        </is>
      </c>
      <c r="F1" s="7" t="inlineStr">
        <is>
          <t>Status</t>
        </is>
      </c>
      <c r="G1" s="7" t="inlineStr">
        <is>
          <t>Tester</t>
        </is>
      </c>
      <c r="H1" s="7" t="inlineStr">
        <is>
          <t>Date</t>
        </is>
      </c>
      <c r="I1" s="7" t="inlineStr">
        <is>
          <t>Notes</t>
        </is>
      </c>
    </row>
    <row r="2">
      <c r="A2" s="8" t="inlineStr">
        <is>
          <t>Prepare</t>
        </is>
      </c>
      <c r="B2" s="8" t="inlineStr">
        <is>
          <t>Admin</t>
        </is>
      </c>
      <c r="C2" s="8" t="inlineStr">
        <is>
          <t>Same prep script as AP (creates ARINV-&lt;suffix&gt;-01/02 and bank line NRC-PAY-26-&lt;suffix&gt;).</t>
        </is>
      </c>
      <c r="D2" s="8" t="inlineStr">
        <is>
          <t>Open items and bank line exist.</t>
        </is>
      </c>
      <c r="E2" s="8" t="inlineStr"/>
      <c r="F2" s="8" t="inlineStr">
        <is>
          <t>Not Run</t>
        </is>
      </c>
      <c r="G2" s="8" t="inlineStr"/>
      <c r="H2" s="8" t="inlineStr"/>
      <c r="I2" s="8" t="inlineStr"/>
    </row>
    <row r="3">
      <c r="A3" s="9" t="inlineStr">
        <is>
          <t>1 Bank line</t>
        </is>
      </c>
      <c r="B3" s="9" t="inlineStr">
        <is>
          <t>AR Processor (bcfa.ar.processor)</t>
        </is>
      </c>
      <c r="C3" s="9" t="inlineStr">
        <is>
          <t>Payments &gt; NRC-PAY-26-&lt;suffix&gt;.</t>
        </is>
      </c>
      <c r="D3" s="9" t="inlineStr">
        <is>
          <t>EXCEPTION, customer ambiguous, waiting for the advice (stage 3).</t>
        </is>
      </c>
      <c r="E3" s="9" t="inlineStr"/>
      <c r="F3" s="9" t="inlineStr">
        <is>
          <t>Not Run</t>
        </is>
      </c>
      <c r="G3" s="9" t="inlineStr"/>
      <c r="H3" s="9" t="inlineStr"/>
      <c r="I3" s="9" t="inlineStr"/>
    </row>
    <row r="4">
      <c r="A4" s="8" t="inlineStr">
        <is>
          <t>2 Advice intake</t>
        </is>
      </c>
      <c r="B4" s="8" t="inlineStr">
        <is>
          <t>AR Processor (bcfa.ar.processor)</t>
        </is>
      </c>
      <c r="C4" s="8" t="inlineStr">
        <is>
          <t>Document Intake &gt; New; AR Payment Advice; attach AR_REMIT_&lt;suffix&gt;_DEMO_NATIVE.pdf; Save; Process Document.</t>
        </is>
      </c>
      <c r="D4" s="8" t="inlineStr">
        <is>
          <t>Extracting.</t>
        </is>
      </c>
      <c r="E4" s="8" t="inlineStr"/>
      <c r="F4" s="8" t="inlineStr">
        <is>
          <t>Not Run</t>
        </is>
      </c>
      <c r="G4" s="8" t="inlineStr"/>
      <c r="H4" s="8" t="inlineStr"/>
      <c r="I4" s="8" t="inlineStr"/>
    </row>
    <row r="5">
      <c r="A5" s="9" t="inlineStr">
        <is>
          <t>3 Extraction and correlation</t>
        </is>
      </c>
      <c r="B5" s="9" t="inlineStr">
        <is>
          <t>AR Processor (bcfa.ar.processor)</t>
        </is>
      </c>
      <c r="C5" s="9" t="inlineStr">
        <is>
          <t>Wait ~1 minute; refresh the intake and the payment.</t>
        </is>
      </c>
      <c r="D5" s="9" t="inlineStr">
        <is>
          <t>Intake Completed; remittance linked; customer Nilgiri Rubber Compounds Ltd.</t>
        </is>
      </c>
      <c r="E5" s="9" t="inlineStr"/>
      <c r="F5" s="9" t="inlineStr">
        <is>
          <t>Not Run</t>
        </is>
      </c>
      <c r="G5" s="9" t="inlineStr"/>
      <c r="H5" s="9" t="inlineStr"/>
      <c r="I5" s="9" t="inlineStr"/>
    </row>
    <row r="6">
      <c r="A6" s="8" t="inlineStr">
        <is>
          <t>4 Open items</t>
        </is>
      </c>
      <c r="B6" s="8" t="inlineStr">
        <is>
          <t>AR Processor (bcfa.ar.processor)</t>
        </is>
      </c>
      <c r="C6" s="8" t="inlineStr">
        <is>
          <t>Payment &gt; Integration Transactions.</t>
        </is>
      </c>
      <c r="D6" s="8" t="inlineStr">
        <is>
          <t>getOpenItems success (MOCK SAP).</t>
        </is>
      </c>
      <c r="E6" s="8" t="inlineStr"/>
      <c r="F6" s="8" t="inlineStr">
        <is>
          <t>Not Run</t>
        </is>
      </c>
      <c r="G6" s="8" t="inlineStr"/>
      <c r="H6" s="8" t="inlineStr"/>
      <c r="I6" s="8" t="inlineStr"/>
    </row>
    <row r="7">
      <c r="A7" s="9" t="inlineStr">
        <is>
          <t>5 Match and allocation</t>
        </is>
      </c>
      <c r="B7" s="9" t="inlineStr">
        <is>
          <t>AR Processor (bcfa.ar.processor)</t>
        </is>
      </c>
      <c r="C7" s="9" t="inlineStr">
        <is>
          <t>Match Candidates, Allocations.</t>
        </is>
      </c>
      <c r="D7" s="9" t="inlineStr">
        <is>
          <t>Both references matched; allocated 80,000; residual −1,600.</t>
        </is>
      </c>
      <c r="E7" s="9" t="inlineStr"/>
      <c r="F7" s="9" t="inlineStr">
        <is>
          <t>Not Run</t>
        </is>
      </c>
      <c r="G7" s="9" t="inlineStr"/>
      <c r="H7" s="9" t="inlineStr"/>
      <c r="I7" s="9" t="inlineStr"/>
    </row>
    <row r="8">
      <c r="A8" s="8" t="inlineStr">
        <is>
          <t>6 Deduction</t>
        </is>
      </c>
      <c r="B8" s="8" t="inlineStr">
        <is>
          <t>AR Processor (bcfa.ar.processor)</t>
        </is>
      </c>
      <c r="C8" s="8" t="inlineStr">
        <is>
          <t>Short Pay exception: Deduction Type Withholding Tax, Decision Reason; Update; Approve Deduction.</t>
        </is>
      </c>
      <c r="D8" s="8" t="inlineStr">
        <is>
          <t>Deduction 1,600 withholding recorded (human_confirmed); payment PENDING_APPROVAL.</t>
        </is>
      </c>
      <c r="E8" s="8" t="inlineStr"/>
      <c r="F8" s="8" t="inlineStr">
        <is>
          <t>Not Run</t>
        </is>
      </c>
      <c r="G8" s="8" t="inlineStr"/>
      <c r="H8" s="8" t="inlineStr"/>
      <c r="I8" s="8" t="inlineStr"/>
    </row>
    <row r="9">
      <c r="A9" s="9" t="inlineStr">
        <is>
          <t>7 Approval</t>
        </is>
      </c>
      <c r="B9" s="9" t="inlineStr">
        <is>
          <t>Finance Approver (bcfa.finance.approver)</t>
        </is>
      </c>
      <c r="C9" s="9" t="inlineStr">
        <is>
          <t>Cash Application &gt; Approvals &gt; Approve.</t>
        </is>
      </c>
      <c r="D9" s="9" t="inlineStr">
        <is>
          <t>Approved with SoD checks.</t>
        </is>
      </c>
      <c r="E9" s="9" t="inlineStr"/>
      <c r="F9" s="9" t="inlineStr">
        <is>
          <t>Not Run</t>
        </is>
      </c>
      <c r="G9" s="9" t="inlineStr"/>
      <c r="H9" s="9" t="inlineStr"/>
      <c r="I9" s="9" t="inlineStr"/>
    </row>
    <row r="10">
      <c r="A10" s="8" t="inlineStr">
        <is>
          <t>8 SAP clearing</t>
        </is>
      </c>
      <c r="B10" s="8" t="inlineStr">
        <is>
          <t>Finance Approver (bcfa.finance.approver)</t>
        </is>
      </c>
      <c r="C10" s="8" t="inlineStr">
        <is>
          <t>Refresh payment; Integration Transactions; open items.</t>
        </is>
      </c>
      <c r="D10" s="8" t="inlineStr">
        <is>
          <t>clearCustomerPayment success FB05… (DIRECT); open items settled; CLOSED.</t>
        </is>
      </c>
      <c r="E10" s="8" t="inlineStr"/>
      <c r="F10" s="8" t="inlineStr">
        <is>
          <t>Not Run</t>
        </is>
      </c>
      <c r="G10" s="8" t="inlineStr"/>
      <c r="H10" s="8" t="inlineStr"/>
      <c r="I10" s="8" t="inlineStr"/>
    </row>
    <row r="11">
      <c r="A11" s="9" t="inlineStr">
        <is>
          <t>9 Closure</t>
        </is>
      </c>
      <c r="B11" s="9" t="inlineStr">
        <is>
          <t>Auditor</t>
        </is>
      </c>
      <c r="C11" s="9" t="inlineStr">
        <is>
          <t>Playbook; Audit Events.</t>
        </is>
      </c>
      <c r="D11" s="9" t="inlineStr">
        <is>
          <t>All 9 stages complete; full audit chain.</t>
        </is>
      </c>
      <c r="E11" s="9" t="inlineStr"/>
      <c r="F11" s="9" t="inlineStr">
        <is>
          <t>Not Run</t>
        </is>
      </c>
      <c r="G11" s="9" t="inlineStr"/>
      <c r="H11" s="9" t="inlineStr"/>
      <c r="I11" s="9" t="inlineStr"/>
    </row>
  </sheetData>
  <conditionalFormatting sqref="F2:F1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dataValidations count="1">
    <dataValidation sqref="F2:F11" showDropDown="0" showInputMessage="0" showErrorMessage="0" allowBlank="0" type="list">
      <formula1>"Not Run,Pass,Fail,Blocked,N/A"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10" customWidth="1" min="3" max="3"/>
  </cols>
  <sheetData>
    <row r="1" ht="30" customHeight="1">
      <c r="A1" s="7" t="inlineStr">
        <is>
          <t>Ref</t>
        </is>
      </c>
      <c r="B1" s="7" t="inlineStr">
        <is>
          <t>Item</t>
        </is>
      </c>
      <c r="C1" s="7" t="inlineStr">
        <is>
          <t>Detail</t>
        </is>
      </c>
    </row>
    <row r="2">
      <c r="A2" s="8" t="inlineStr">
        <is>
          <t>R1</t>
        </is>
      </c>
      <c r="B2" s="8" t="inlineStr">
        <is>
          <t>Demo data reset (optional, on agreement)</t>
        </is>
      </c>
      <c r="C2" s="8" t="inlineStr">
        <is>
          <t>Admin: Scripts - Background, scope x_695068_bcfa, run scripts/deploy/phase28_reset_and_reseed_bg.js. Restores INV-AP-001..010, BANK-AR-001..010, BANK-POC2-001..003, INV-PLAY-01..04, BANK-PLAY-01..07.</t>
        </is>
      </c>
    </row>
    <row r="3">
      <c r="A3" s="9" t="inlineStr">
        <is>
          <t>R2</t>
        </is>
      </c>
      <c r="B3" s="9" t="inlineStr">
        <is>
          <t>Fresh demo pack for E2E tests</t>
        </is>
      </c>
      <c r="C3" s="9" t="inlineStr">
        <is>
          <t>python scripts/fixtures/gen_phase40_demo_journeys.py &lt;suffix&gt; (new suffix per run, e.g. T1), then run scripts/deploy/phase40_demo_prep_&lt;suffix&gt;_bg.js (scope x_695068_bcfa). Packs D1 (used for rehearsal on 2026-10-05) and D2 (reserved for the client demo) already exist.</t>
        </is>
      </c>
    </row>
    <row r="4">
      <c r="A4" s="8" t="inlineStr">
        <is>
          <t>R3</t>
        </is>
      </c>
      <c r="B4" s="8" t="inlineStr">
        <is>
          <t>Tax / tolerance / deduction scenarios</t>
        </is>
      </c>
      <c r="C4" s="8" t="inlineStr">
        <is>
          <t>Run scripts/deploy/phase40_e2e_bg.js (scope x_695068_bcfa). Creates invoices E2E-&lt;run&gt;-T1, T2, T4, T5, T6, Q1, Q2 and payments E2E-&lt;run&gt;-T, U, R; the log line BCFA_E2E40 run &lt;run&gt; lists the results.</t>
        </is>
      </c>
    </row>
    <row r="5">
      <c r="A5" s="9" t="inlineStr">
        <is>
          <t>R4</t>
        </is>
      </c>
      <c r="B5" s="9" t="inlineStr">
        <is>
          <t>Automated regression</t>
        </is>
      </c>
      <c r="C5" s="9" t="inlineStr">
        <is>
          <t>Run the ATF suite BCFA Regression (49 tests), one test at a time if the instance is busy; results in Automated Test Framework &gt; Test Results.</t>
        </is>
      </c>
    </row>
    <row r="6">
      <c r="A6" s="8" t="inlineStr">
        <is>
          <t>Users</t>
        </is>
      </c>
      <c r="B6" s="8" t="inlineStr">
        <is>
          <t>Personas</t>
        </is>
      </c>
      <c r="C6" s="8" t="inlineStr">
        <is>
          <t>bcfa.ap.processor, bcfa.ar.processor, bcfa.finance.approver, bcfa.finance.controller (impersonate from an admin account; no passwords needed).</t>
        </is>
      </c>
    </row>
    <row r="7">
      <c r="A7" s="9" t="inlineStr">
        <is>
          <t>Fixtures</t>
        </is>
      </c>
      <c r="B7" s="9" t="inlineStr">
        <is>
          <t>Synthetic PDFs</t>
        </is>
      </c>
      <c r="C7" s="9" t="inlineStr">
        <is>
          <t>test/fixtures: AP_INV_001..006, AP_INV_101..105 (GST, IGST, German VAT, WHT, 2-page), AR_REMIT_001..005, 101..103, 201..204, *_D1/_D2_DEMO_NATIVE. All watermarked SYNTHETIC.</t>
        </is>
      </c>
    </row>
    <row r="8">
      <c r="A8" s="8" t="inlineStr">
        <is>
          <t>Properties</t>
        </is>
      </c>
      <c r="B8" s="8" t="inlineStr">
        <is>
          <t>Settings used by tests</t>
        </is>
      </c>
      <c r="C8" s="8" t="inlineStr">
        <is>
          <t>x_695068_bcfa.document.extraction.provider (native), x_695068_bcfa.sap.adapter (mock_sap), x_695068_bcfa.ar.sap_processing_mode (direct / draft), x_695068_bcfa.mock_sap.draft_outcome, Integration Profile "Mock SAP - Default" failure mode. Restore after each negative test.</t>
        </is>
      </c>
    </row>
    <row r="9">
      <c r="A9" s="9" t="inlineStr">
        <is>
          <t>Workspace</t>
        </is>
      </c>
      <c r="B9" s="9" t="inlineStr">
        <is>
          <t>URL</t>
        </is>
      </c>
      <c r="C9" s="9" t="inlineStr">
        <is>
          <t>https://pwcmanagementservicesdemo01.service-now.com/now/bcfa/home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0" customWidth="1" min="3" max="3"/>
    <col width="40" customWidth="1" min="4" max="4"/>
    <col width="30" customWidth="1" min="5" max="5"/>
    <col width="30" customWidth="1" min="6" max="6"/>
    <col width="10" customWidth="1" min="7" max="7"/>
    <col width="11" customWidth="1" min="8" max="8"/>
    <col width="14" customWidth="1" min="9" max="9"/>
    <col width="11" customWidth="1" min="10" max="10"/>
    <col width="14" customWidth="1" min="11" max="11"/>
    <col width="30" customWidth="1" min="12" max="12"/>
  </cols>
  <sheetData>
    <row r="1" ht="30" customHeight="1">
      <c r="A1" s="7" t="inlineStr">
        <is>
          <t>Defect ID</t>
        </is>
      </c>
      <c r="B1" s="7" t="inlineStr">
        <is>
          <t>Test ID</t>
        </is>
      </c>
      <c r="C1" s="7" t="inlineStr">
        <is>
          <t>Summary</t>
        </is>
      </c>
      <c r="D1" s="7" t="inlineStr">
        <is>
          <t>Steps to reproduce</t>
        </is>
      </c>
      <c r="E1" s="7" t="inlineStr">
        <is>
          <t>Expected</t>
        </is>
      </c>
      <c r="F1" s="7" t="inlineStr">
        <is>
          <t>Actual</t>
        </is>
      </c>
      <c r="G1" s="7" t="inlineStr">
        <is>
          <t>Severity</t>
        </is>
      </c>
      <c r="H1" s="7" t="inlineStr">
        <is>
          <t>Status</t>
        </is>
      </c>
      <c r="I1" s="7" t="inlineStr">
        <is>
          <t>Raised by</t>
        </is>
      </c>
      <c r="J1" s="7" t="inlineStr">
        <is>
          <t>Date</t>
        </is>
      </c>
      <c r="K1" s="7" t="inlineStr">
        <is>
          <t>Owner</t>
        </is>
      </c>
      <c r="L1" s="7" t="inlineStr">
        <is>
          <t>Resolution</t>
        </is>
      </c>
    </row>
    <row r="2">
      <c r="A2" s="8" t="inlineStr">
        <is>
          <t>D6</t>
        </is>
      </c>
      <c r="B2" s="8" t="inlineStr">
        <is>
          <t>AP-EXC-05</t>
        </is>
      </c>
      <c r="C2" s="8" t="inlineStr">
        <is>
          <t>Finance approver cannot type the Decision Reason on an exception</t>
        </is>
      </c>
      <c r="D2" s="8" t="inlineStr">
        <is>
          <t>Impersonate bcfa.finance.approver; open an AP exception; try to edit Decision Reason</t>
        </is>
      </c>
      <c r="E2" s="8" t="inlineStr">
        <is>
          <t>Approver can enter the reason</t>
        </is>
      </c>
      <c r="F2" s="8" t="inlineStr">
        <is>
          <t>Field read-only (write ACL allows processor and admin only)</t>
        </is>
      </c>
      <c r="G2" s="8" t="inlineStr">
        <is>
          <t>Medium</t>
        </is>
      </c>
      <c r="H2" s="8" t="inlineStr">
        <is>
          <t>Open</t>
        </is>
      </c>
      <c r="I2" s="8" t="inlineStr">
        <is>
          <t>Build team</t>
        </is>
      </c>
      <c r="J2" s="8" t="inlineStr">
        <is>
          <t>2026-10-05</t>
        </is>
      </c>
      <c r="K2" s="8" t="inlineStr">
        <is>
          <t>Instance owner / security_admin</t>
        </is>
      </c>
      <c r="L2" s="8" t="inlineStr">
        <is>
          <t>Workaround: processor enters the reason, approver approves</t>
        </is>
      </c>
    </row>
  </sheetData>
  <dataValidations count="2">
    <dataValidation sqref="G2:G500" showDropDown="0" showInputMessage="0" showErrorMessage="0" allowBlank="0" type="list">
      <formula1>"Critical,High,Medium,Low"</formula1>
    </dataValidation>
    <dataValidation sqref="H2:H500" showDropDown="0" showInputMessage="0" showErrorMessage="0" allowBlank="0" type="list">
      <formula1>"Open,In progress,Fixed,Retest,Closed,Rejected"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2026-10-13T12:52:12Z</dcterms:created>
  <dcterms:modified xmlns:dcterms="http://purl.org/dc/terms/" xmlns:xsi="http://www.w3.org/2001/XMLSchema-instance" xsi:type="dcterms:W3CDTF">2026-10-13T12:52:12Z</dcterms:modified>
</cp:coreProperties>
</file>